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de garde" sheetId="1" r:id="rId5"/>
    <sheet state="visible" name="Résumé Exécutif " sheetId="2" r:id="rId6"/>
    <sheet state="visible" name="Partie financière" sheetId="3" r:id="rId7"/>
    <sheet state="visible" name="1_Utilisation de Fonds" sheetId="4" r:id="rId8"/>
    <sheet state="visible" name="2_suivi budgétaire" sheetId="5" r:id="rId9"/>
    <sheet state="visible" name="Annexes" sheetId="6" r:id="rId10"/>
    <sheet state="visible" name="3_Annexe_JT" sheetId="7" r:id="rId11"/>
    <sheet state="visible" name="3_Liste des PJ" sheetId="8" r:id="rId12"/>
  </sheets>
  <definedNames/>
  <calcPr/>
</workbook>
</file>

<file path=xl/sharedStrings.xml><?xml version="1.0" encoding="utf-8"?>
<sst xmlns="http://schemas.openxmlformats.org/spreadsheetml/2006/main" count="508" uniqueCount="338">
  <si>
    <t>RAPPORT:</t>
  </si>
  <si>
    <t>FATAPLUS</t>
  </si>
  <si>
    <t xml:space="preserve">POLE: </t>
  </si>
  <si>
    <t>ANALAMANGA</t>
  </si>
  <si>
    <t>NOM DU PROMOTEUR:</t>
  </si>
  <si>
    <t>FANOMEZANIRINA Fenohery</t>
  </si>
  <si>
    <t>ADRESSE:</t>
  </si>
  <si>
    <t>Lot IIH 35 Gter Ankerana Ankadindramamy / Tana V</t>
  </si>
  <si>
    <t>N°TEL:</t>
  </si>
  <si>
    <t>OBJET DE LA CONVENTION: FATAPLUS : plateforme en ligne connecte directement les agriculteurs locaux avec les consommateurs et les visiteurs intéressés par une agriculture plus respectueuse de l’environnement</t>
  </si>
  <si>
    <t>REFERENCE DE LA CONVENTION:</t>
  </si>
  <si>
    <t>RAPPORT D'AVANCEMENT</t>
  </si>
  <si>
    <t>TECHNIQUE &amp; FINANCIER</t>
  </si>
  <si>
    <t>2ème ACOMPTE</t>
  </si>
  <si>
    <t>Rapport technique final</t>
  </si>
  <si>
    <t>Rapport vérifié par l'équipe FIEM locale</t>
  </si>
  <si>
    <t>RÉSUMÉ EXÉCUTIF</t>
  </si>
  <si>
    <t>RAPPORT FINANCIER - 2ÈME DÉCAISSEMENT</t>
  </si>
  <si>
    <t>PROJET FATAPLUS</t>
  </si>
  <si>
    <t>INFORMATIONS GÉNÉRALES</t>
  </si>
  <si>
    <t>Promoteur</t>
  </si>
  <si>
    <t>N° Convention</t>
  </si>
  <si>
    <t>039/MIARY/DIGITAL/PIC3/</t>
  </si>
  <si>
    <t>Intitulé projet</t>
  </si>
  <si>
    <t>FATAPLUS - Plateforme AgriTech</t>
  </si>
  <si>
    <t>Montant convention</t>
  </si>
  <si>
    <t>65 000 000 Ar</t>
  </si>
  <si>
    <t>Période rapport</t>
  </si>
  <si>
    <t>Août 2025 - Octobre 2025</t>
  </si>
  <si>
    <t>Date rapport</t>
  </si>
  <si>
    <t>SYNTHÈSE FINANCIÈRE</t>
  </si>
  <si>
    <t>FONDS REÇUS</t>
  </si>
  <si>
    <t>MONTANT (Ar)</t>
  </si>
  <si>
    <t>1er décaissement</t>
  </si>
  <si>
    <t>2ème décaissement</t>
  </si>
  <si>
    <t>Solde initial</t>
  </si>
  <si>
    <t>TOTAL DISPONIBLE</t>
  </si>
  <si>
    <t>DÉPENSES EFFECTUÉES</t>
  </si>
  <si>
    <t>TOTAL DÉPENSÉ</t>
  </si>
  <si>
    <t>SOLDE ACTUEL</t>
  </si>
  <si>
    <t>RÉPARTITION 2ÈME DÉCAISSEMENT</t>
  </si>
  <si>
    <t>POURCENTAGE</t>
  </si>
  <si>
    <t>Marketing et Communication</t>
  </si>
  <si>
    <t>- Campagne initiale (12/08)</t>
  </si>
  <si>
    <t>- Campagne complémentaire (31/10)</t>
  </si>
  <si>
    <t>Développement Technique</t>
  </si>
  <si>
    <t>- Développement plateforme</t>
  </si>
  <si>
    <t>- Infrastructure technique</t>
  </si>
  <si>
    <t>Infrastructure</t>
  </si>
  <si>
    <t>- Location immobilière</t>
  </si>
  <si>
    <t>- Mobilier bureau</t>
  </si>
  <si>
    <t>- Imprimante</t>
  </si>
  <si>
    <t>Ressources Humaines</t>
  </si>
  <si>
    <t>- Salaires et rémunérations</t>
  </si>
  <si>
    <t>TOTAL 2ÈME DÉCAISSEMENT</t>
  </si>
  <si>
    <t>RÉALISATIONS CLÉS</t>
  </si>
  <si>
    <t>EMPLOIS CRÉÉS</t>
  </si>
  <si>
    <t>Emplois formels</t>
  </si>
  <si>
    <t>2 postes (dont 1 femme)</t>
  </si>
  <si>
    <t>Emplois informels</t>
  </si>
  <si>
    <t>1 poste</t>
  </si>
  <si>
    <t>DÉVELOPPEMENT TECHNIQUE</t>
  </si>
  <si>
    <t>Commits GitHub majeurs</t>
  </si>
  <si>
    <t>5 commits</t>
  </si>
  <si>
    <t>Fonctionnalités ajoutées</t>
  </si>
  <si>
    <t>CI/CD, RAG mobile, Sécurité</t>
  </si>
  <si>
    <t>Documentation</t>
  </si>
  <si>
    <t>Complète et à jour</t>
  </si>
  <si>
    <t>MARKETING</t>
  </si>
  <si>
    <t>Événements</t>
  </si>
  <si>
    <t>4 participations majeures</t>
  </si>
  <si>
    <t>Programmes lancés</t>
  </si>
  <si>
    <t>1 bootcamp design (12 semaines)</t>
  </si>
  <si>
    <t>Outils déployés</t>
  </si>
  <si>
    <t>1 serveur MCP open-source</t>
  </si>
  <si>
    <t>PROCHAINES ÉTAPES</t>
  </si>
  <si>
    <t>Fonds à débloquer (3ème décaissement)</t>
  </si>
  <si>
    <t>3 300 000 Ar</t>
  </si>
  <si>
    <t>- Mesures atténuation environnementale</t>
  </si>
  <si>
    <t>- Frais bancaires</t>
  </si>
  <si>
    <t>- Transports et déplacements</t>
  </si>
  <si>
    <t>- Installations et agencements</t>
  </si>
  <si>
    <t>OBJECTIFS Q4 2025 - Q1 2026</t>
  </si>
  <si>
    <t>- Expansion nationale</t>
  </si>
  <si>
    <t>3 nouvelles régions</t>
  </si>
  <si>
    <t>- Commercialisation version Pro</t>
  </si>
  <si>
    <t>Lancement offres premium</t>
  </si>
  <si>
    <t>- Génération revenus</t>
  </si>
  <si>
    <t>18 000 000 Ar</t>
  </si>
  <si>
    <t>- Levée fonds privés</t>
  </si>
  <si>
    <t>5 000 000 Ar</t>
  </si>
  <si>
    <t>PIÈCES JUSTIFICATIVES</t>
  </si>
  <si>
    <t>Toutes les pièces justificatives sont disponibles dans le dossier Drive</t>
  </si>
  <si>
    <t>drive.google.com/drive/folders/1jVeGo-LB5eokuRpjXF60O9ZXDI1O3HzE</t>
  </si>
  <si>
    <t>PARTIE FINANCIERE</t>
  </si>
  <si>
    <t>PERIODE RAPPORTEE : Date ouverture de compte juqu'a fin autorisation (relicat)</t>
  </si>
  <si>
    <t>Montant en Ar</t>
  </si>
  <si>
    <t>Fonds reçus (A)</t>
  </si>
  <si>
    <t>(+) Fonds reçus PIC - 1er décaissement</t>
  </si>
  <si>
    <t>(+) Fonds reçus PIC - 2ème décaissement</t>
  </si>
  <si>
    <t>(+) Fonds reçus Apports</t>
  </si>
  <si>
    <t>-</t>
  </si>
  <si>
    <t>(+) Intérêt créditeur</t>
  </si>
  <si>
    <t>(+) Solde de la banque/caisse au début de la période</t>
  </si>
  <si>
    <t xml:space="preserve"> Subvention</t>
  </si>
  <si>
    <t xml:space="preserve"> Apport</t>
  </si>
  <si>
    <t>Utilisations de Fonds (B)</t>
  </si>
  <si>
    <t>Dépenses effectuées (1er décaissement)</t>
  </si>
  <si>
    <t>FRAIS BANCAIRE</t>
  </si>
  <si>
    <t>Solde de la trésorerie = (A) - (B)</t>
  </si>
  <si>
    <t>(+) Solde de la banque/caisse fin de la période</t>
  </si>
  <si>
    <t>Solde du relevé bancaire au 31/10/2025</t>
  </si>
  <si>
    <t xml:space="preserve">PERIODE RAPPORTEE : </t>
  </si>
  <si>
    <t>1 ère Tranche Subvention MIARY DIGITAL</t>
  </si>
  <si>
    <t>Détails des dépenses</t>
  </si>
  <si>
    <t>Référence 
des pièces justificatives</t>
  </si>
  <si>
    <t>Réalisations</t>
  </si>
  <si>
    <t>Prévisions</t>
  </si>
  <si>
    <t>Ecart</t>
  </si>
  <si>
    <t>achat Ordinateur</t>
  </si>
  <si>
    <t>N° : #FA001876</t>
  </si>
  <si>
    <t>Developpement des applications : site web / application communauté / application marketplace</t>
  </si>
  <si>
    <t>N° : #FACT-2025002</t>
  </si>
  <si>
    <t>TOTAL des dépenses de la période</t>
  </si>
  <si>
    <t>Pourcentage % à la prévision</t>
  </si>
  <si>
    <t>Pourcentage hors frais de mise en œuvres des travaux environnementaux</t>
  </si>
  <si>
    <t>Seuil de  déblocage de la tranche suivante = 70%</t>
  </si>
  <si>
    <t>Référence des pièces justificatives</t>
  </si>
  <si>
    <t>Matériel informatique - LAPTOP</t>
  </si>
  <si>
    <t>N° : [À compléter]</t>
  </si>
  <si>
    <t>Matériel informatique - Imprimante</t>
  </si>
  <si>
    <t>Table de bureau</t>
  </si>
  <si>
    <t>Chaise de bureau</t>
  </si>
  <si>
    <t>Chaise visiteurs</t>
  </si>
  <si>
    <t>Salaires et rémunérations</t>
  </si>
  <si>
    <t>Développement Application</t>
  </si>
  <si>
    <t>Voir GitHub: commits récents (CI/CD, RAG mobile, sécurité)</t>
  </si>
  <si>
    <t>Campagne Marketing</t>
  </si>
  <si>
    <t>Voir Facebook: Bootcamp Design, FIA 2025, Creative Minds Awards</t>
  </si>
  <si>
    <t>TOTAL des dépenses utilisées</t>
  </si>
  <si>
    <t>FONDS À DÉBLOQUER POUR:</t>
  </si>
  <si>
    <t>Mesures d'atténuation</t>
  </si>
  <si>
    <t>À débloquer</t>
  </si>
  <si>
    <t>Frais Bancaire</t>
  </si>
  <si>
    <t>Location immobilière</t>
  </si>
  <si>
    <t>Transports et déplacements</t>
  </si>
  <si>
    <t>Installations et agencements</t>
  </si>
  <si>
    <t>ANNEXES</t>
  </si>
  <si>
    <t>LISTE DES PIÈCES JUSTIFICATIVES</t>
  </si>
  <si>
    <t>N°</t>
  </si>
  <si>
    <t>TYPE DE DOCUMENT</t>
  </si>
  <si>
    <t>RÉFÉRENCE</t>
  </si>
  <si>
    <t>LOCALISATION</t>
  </si>
  <si>
    <t>Autorisation virement UEP FIEM</t>
  </si>
  <si>
    <t>N°675 - 12/08/2025</t>
  </si>
  <si>
    <t>Dossier Drive principal</t>
  </si>
  <si>
    <t>N°803 - 31/10/2025</t>
  </si>
  <si>
    <t>N°807 - 31/10/2025</t>
  </si>
  <si>
    <t>N°809 - 31/10/2025</t>
  </si>
  <si>
    <t>N°811 - 31/10/2025</t>
  </si>
  <si>
    <t>N°813 - 31/10/2025</t>
  </si>
  <si>
    <t>N°815 - 31/10/2025</t>
  </si>
  <si>
    <t>N°817 - 31/10/2025</t>
  </si>
  <si>
    <t>Factures matériel</t>
  </si>
  <si>
    <t>Imprimante + mobilier</t>
  </si>
  <si>
    <t>Dossier 'ACHAT MATERIEL'</t>
  </si>
  <si>
    <t>Contrats et bulletins de paie</t>
  </si>
  <si>
    <t>Salaires équipe</t>
  </si>
  <si>
    <t>Dossier 'SALAIRE FINALISER'</t>
  </si>
  <si>
    <t>Déclarations CNaPS</t>
  </si>
  <si>
    <t>Charges sociales</t>
  </si>
  <si>
    <t>En cours</t>
  </si>
  <si>
    <t>Dossier 'Salaires'</t>
  </si>
  <si>
    <t>Contrat location</t>
  </si>
  <si>
    <t>Bureau Ankadindramamy</t>
  </si>
  <si>
    <t>Dossier 'Immobilier'</t>
  </si>
  <si>
    <t>Bons de commande</t>
  </si>
  <si>
    <t>Divers achats</t>
  </si>
  <si>
    <t>Variable</t>
  </si>
  <si>
    <t>Dossier 'BON DE COMMANDE'</t>
  </si>
  <si>
    <t>Factures prestataires</t>
  </si>
  <si>
    <t>Services techniques</t>
  </si>
  <si>
    <t>Dossier 'Fournisseur de service'</t>
  </si>
  <si>
    <t>Justificatifs déplacements</t>
  </si>
  <si>
    <t>Transports événements</t>
  </si>
  <si>
    <t>Dossier 'Transport et Deplacement'</t>
  </si>
  <si>
    <t>Factures agencement</t>
  </si>
  <si>
    <t>Aménagement bureau</t>
  </si>
  <si>
    <t>Dossier 'Installation et agencement'</t>
  </si>
  <si>
    <t>PREUVES D'ACTIVITÉS</t>
  </si>
  <si>
    <t>TYPE DE PREUVE</t>
  </si>
  <si>
    <t>DESCRIPTION</t>
  </si>
  <si>
    <t>LIEN/RÉFÉRENCE</t>
  </si>
  <si>
    <t>GitHub - Commits</t>
  </si>
  <si>
    <t>5 commits majeurs (CI/CD, RAG, sécurité)</t>
  </si>
  <si>
    <t>github.com/Fataplus/Fataplus-Agritech-Platform</t>
  </si>
  <si>
    <t>Facebook - Posts</t>
  </si>
  <si>
    <t>Bootcamp Design, MCP, événements</t>
  </si>
  <si>
    <t>facebook.com/mg.fataplus</t>
  </si>
  <si>
    <t>DeepWiki - Documentation</t>
  </si>
  <si>
    <t>Documentation technique complète</t>
  </si>
  <si>
    <t>deepwiki.com/Fataplus</t>
  </si>
  <si>
    <t>Photos événements</t>
  </si>
  <si>
    <t>FIA 2025, Creative Minds Awards, FIM, Foire Fromages</t>
  </si>
  <si>
    <t>Dossier Drive 'Documents Juin 2025'</t>
  </si>
  <si>
    <t>Business Plan</t>
  </si>
  <si>
    <t>Plan d'affaires mis à jour</t>
  </si>
  <si>
    <t>Google Docs (ID dans rapport technique)</t>
  </si>
  <si>
    <t>DOSSIER DRIVE PRINCIPAL</t>
  </si>
  <si>
    <t>SOUS-DOSSIERS</t>
  </si>
  <si>
    <t>- Salaires - BR N°00092/90/MIARY DIGITAL-AGRI / FATAPLUS</t>
  </si>
  <si>
    <t>- ACHAT MATERIEL - BR N°00092/90/MIARY DIGITAL-AGRI / FATAPLUS</t>
  </si>
  <si>
    <t>- Installation et agencement</t>
  </si>
  <si>
    <t>- BON DE COMMANDE</t>
  </si>
  <si>
    <t>- Transport et Deplacement</t>
  </si>
  <si>
    <t>- Immobilier</t>
  </si>
  <si>
    <t>- SALAIRE FINALISER</t>
  </si>
  <si>
    <t>- Fournisseur de service</t>
  </si>
  <si>
    <t>- Documents Juin 2025</t>
  </si>
  <si>
    <t>CONTACT</t>
  </si>
  <si>
    <t>Promoteur : FANOMEZANIRINA Fenohery</t>
  </si>
  <si>
    <t>Tél : 2613420472</t>
  </si>
  <si>
    <t>Adresse : Lot III 35 Gter Ankerana Ankadindramamy / Tana V</t>
  </si>
  <si>
    <t>Email : contact@fata.plus</t>
  </si>
  <si>
    <t>ANNEXE: JOURNAL DE TRESORERIE</t>
  </si>
  <si>
    <t>BANQUE  DU</t>
  </si>
  <si>
    <t>Date de l'opération</t>
  </si>
  <si>
    <t>Objet/nature de l'opération</t>
  </si>
  <si>
    <t xml:space="preserve">crédit </t>
  </si>
  <si>
    <t xml:space="preserve">débit </t>
  </si>
  <si>
    <t>Solde</t>
  </si>
  <si>
    <t>Observation</t>
  </si>
  <si>
    <t>solde au 19112024</t>
  </si>
  <si>
    <t>VERSEMENT ESPECES</t>
  </si>
  <si>
    <t>VIRT DE : PROJET TRANSFORMATION ECONOMIQ</t>
  </si>
  <si>
    <t>COMMISSION DE VIREMENT</t>
  </si>
  <si>
    <t>VIRT FAV : ZOMA</t>
  </si>
  <si>
    <t>VIRT FAV : RASOLONIRINA MAMPIONONA IRIS</t>
  </si>
  <si>
    <t>SOLDE BANCAIRE = (A)</t>
  </si>
  <si>
    <t>SOLDE DU RELEVE BANCAIRE  = (B)</t>
  </si>
  <si>
    <t>ECART = (A) - (B)</t>
  </si>
  <si>
    <t>Justification du rapprochement banciare en cas d'écart</t>
  </si>
  <si>
    <t>2ÈME DÉCAISSEMENT - PROJET FATAPLUS</t>
  </si>
  <si>
    <t>CATÉGORIE</t>
  </si>
  <si>
    <t>STATUT</t>
  </si>
  <si>
    <t>LOCALISATION DRIVE</t>
  </si>
  <si>
    <t>AUTORISATIONS</t>
  </si>
  <si>
    <t>N°675 du 12/08/2025</t>
  </si>
  <si>
    <t>Validé</t>
  </si>
  <si>
    <t>Dossier principal</t>
  </si>
  <si>
    <t>N°803 du 31/10/2025</t>
  </si>
  <si>
    <t>N°807 du 31/10/2025</t>
  </si>
  <si>
    <t>N°809 du 31/10/2025</t>
  </si>
  <si>
    <t>N°811 du 31/10/2025</t>
  </si>
  <si>
    <t>N°813 du 31/10/2025</t>
  </si>
  <si>
    <t>N°815 du 31/10/2025</t>
  </si>
  <si>
    <t>N°817 du 31/10/2025</t>
  </si>
  <si>
    <t>SOUS-TOTAL AUTORISATIONS</t>
  </si>
  <si>
    <t>MATÉRIEL</t>
  </si>
  <si>
    <t>Facture imprimante</t>
  </si>
  <si>
    <t>À compléter</t>
  </si>
  <si>
    <t>ACHAT MATERIEL</t>
  </si>
  <si>
    <t>Facture mobilier bureau</t>
  </si>
  <si>
    <t>Bon de commande matériel</t>
  </si>
  <si>
    <t>Divers BC</t>
  </si>
  <si>
    <t>BON DE COMMANDE</t>
  </si>
  <si>
    <t>RESSOURCES HUMAINES</t>
  </si>
  <si>
    <t>Contrat de travail - Responsable Marketing</t>
  </si>
  <si>
    <t>Contrat 2025-001</t>
  </si>
  <si>
    <t>Signé</t>
  </si>
  <si>
    <t>SALAIRE FINALISER</t>
  </si>
  <si>
    <t>Contrat de travail - Chef de projet</t>
  </si>
  <si>
    <t>Contrat 2025-002</t>
  </si>
  <si>
    <t>Bulletins de paie - Août 2025</t>
  </si>
  <si>
    <t>BP-08-2025</t>
  </si>
  <si>
    <t>Payé</t>
  </si>
  <si>
    <t>Salaires</t>
  </si>
  <si>
    <t>Bulletins de paie - Septembre 2025</t>
  </si>
  <si>
    <t>BP-09-2025</t>
  </si>
  <si>
    <t>Bulletins de paie - Octobre 2025</t>
  </si>
  <si>
    <t>BP-10-2025</t>
  </si>
  <si>
    <t>Déclaration CNaPS</t>
  </si>
  <si>
    <t>CNaPS-2025-Q3</t>
  </si>
  <si>
    <t>SOUS-TOTAL RH</t>
  </si>
  <si>
    <t>INFRASTRUCTURE</t>
  </si>
  <si>
    <t>Contrat location bureau</t>
  </si>
  <si>
    <t>Bail 2025-001</t>
  </si>
  <si>
    <t>Immobilier</t>
  </si>
  <si>
    <t>Quittance loyer - Août 2025</t>
  </si>
  <si>
    <t>Quittance-08-2025</t>
  </si>
  <si>
    <t>Quittance loyer - Septembre 2025</t>
  </si>
  <si>
    <t>Quittance-09-2025</t>
  </si>
  <si>
    <t>Quittance loyer - Octobre 2025</t>
  </si>
  <si>
    <t>Quittance-10-2025</t>
  </si>
  <si>
    <t>Divers</t>
  </si>
  <si>
    <t>Installation et agencement</t>
  </si>
  <si>
    <t>SOUS-TOTAL INFRASTRUCTURE</t>
  </si>
  <si>
    <t>DÉVELOPPEMENT</t>
  </si>
  <si>
    <t>Contrat prestataire technique</t>
  </si>
  <si>
    <t>FACT-2025002</t>
  </si>
  <si>
    <t>Exécuté</t>
  </si>
  <si>
    <t>Fournisseur de service</t>
  </si>
  <si>
    <t>Facture infrastructure cloud</t>
  </si>
  <si>
    <t>Preuves GitHub</t>
  </si>
  <si>
    <t>5 commits majeurs</t>
  </si>
  <si>
    <t>N/A</t>
  </si>
  <si>
    <t>Vérifiable</t>
  </si>
  <si>
    <t>github.com/Fataplus</t>
  </si>
  <si>
    <t>SOUS-TOTAL DÉVELOPPEMENT</t>
  </si>
  <si>
    <t>Factures campagne marketing</t>
  </si>
  <si>
    <t>Campagne 08/2025</t>
  </si>
  <si>
    <t>Exécutée</t>
  </si>
  <si>
    <t>Factures campagne complémentaire</t>
  </si>
  <si>
    <t>Campagne 10/2025</t>
  </si>
  <si>
    <t>Preuves Facebook</t>
  </si>
  <si>
    <t>Posts événements</t>
  </si>
  <si>
    <t>FIA, Creative Minds, FIM, Foire</t>
  </si>
  <si>
    <t>Disponible</t>
  </si>
  <si>
    <t>Documents Juin 2025</t>
  </si>
  <si>
    <t>Justificatifs bootcamp</t>
  </si>
  <si>
    <t>Programme 12 semaines</t>
  </si>
  <si>
    <t>Lancé</t>
  </si>
  <si>
    <t>Facebook + DeepWiki</t>
  </si>
  <si>
    <t>Justificatifs MCP</t>
  </si>
  <si>
    <t>Serveur open-source</t>
  </si>
  <si>
    <t>Déployé</t>
  </si>
  <si>
    <t>GitHub + DeepWiki</t>
  </si>
  <si>
    <t>SOUS-TOTAL MARKETING</t>
  </si>
  <si>
    <t>TRANSPORT</t>
  </si>
  <si>
    <t>Transport et Deplacement</t>
  </si>
  <si>
    <t>Factures carburant</t>
  </si>
  <si>
    <t>TOTAL GÉNÉRAL</t>
  </si>
  <si>
    <t>NOTES</t>
  </si>
  <si>
    <t>- Tous les documents sont stockés dans le dossier Drive principal</t>
  </si>
  <si>
    <t>- Lien Drive : drive.google.com/drive/folders/1jVeGo-LB5eokuRpjXF60O9ZXDI1O3HzE</t>
  </si>
  <si>
    <t>- Les documents marqués 'En cours' seront complétés avant soumission finale</t>
  </si>
  <si>
    <t>- Les preuves vérifiables sont accessibles en ligne (GitHub, Facebook)</t>
  </si>
  <si>
    <t>CONTACT POUR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</si>
</sst>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 mmmm yyyy"/>
    <numFmt numFmtId="165" formatCode="dd/mm/yyyy"/>
    <numFmt numFmtId="166" formatCode="d/m/yyyy"/>
    <numFmt numFmtId="167" formatCode="_-* #,##0.00_-;\-* #,##0.00_-;_-* &quot;-&quot;??_-;_-@"/>
    <numFmt numFmtId="168" formatCode="D/M/YYYY"/>
    <numFmt numFmtId="169" formatCode="d-m-yyyy"/>
    <numFmt numFmtId="170" formatCode="dd-mm-yyyy"/>
    <numFmt numFmtId="171" formatCode="_-* #,##0_-;\-* #,##0_-;_-* &quot;-&quot;??_-;_-@"/>
  </numFmts>
  <fonts count="45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2.0"/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Arial Narrow"/>
    </font>
    <font>
      <sz val="11.0"/>
      <color rgb="FF000000"/>
      <name val="Calibri"/>
    </font>
    <font/>
    <font>
      <b/>
      <sz val="12.0"/>
      <color theme="1"/>
      <name val="Arial"/>
    </font>
    <font>
      <b/>
      <i/>
      <sz val="16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u/>
      <color rgb="FF0000FF"/>
    </font>
    <font>
      <b/>
      <sz val="9.0"/>
      <color theme="1"/>
      <name val="Calibri"/>
    </font>
    <font>
      <b/>
      <sz val="11.0"/>
      <color rgb="FF4472C4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1.0"/>
      <color rgb="FF000000"/>
      <name val="Arial"/>
    </font>
    <font>
      <sz val="9.0"/>
      <color rgb="FF000000"/>
      <name val="Arial"/>
    </font>
    <font>
      <sz val="12.0"/>
      <color rgb="FF000000"/>
      <name val="Calibri"/>
    </font>
    <font>
      <sz val="9.0"/>
      <color rgb="FFFF0000"/>
      <name val="Arial"/>
    </font>
    <font>
      <b/>
      <i/>
      <sz val="9.0"/>
      <color rgb="FF000000"/>
      <name val="Arial"/>
    </font>
    <font>
      <b/>
      <i/>
      <sz val="9.0"/>
      <color rgb="FFFF0000"/>
      <name val="Arial"/>
    </font>
    <font>
      <b/>
      <sz val="12.0"/>
      <color rgb="FF000000"/>
      <name val="Calibri"/>
    </font>
    <font>
      <i/>
      <sz val="9.0"/>
      <color rgb="FF000000"/>
      <name val="Arial"/>
    </font>
    <font>
      <b/>
      <sz val="12.0"/>
      <color theme="1"/>
      <name val="Calibri"/>
    </font>
    <font>
      <sz val="11.0"/>
      <color rgb="FF0070C0"/>
      <name val="Calibri"/>
    </font>
    <font>
      <b/>
      <sz val="10.0"/>
      <color theme="1"/>
      <name val="Arial Narrow"/>
    </font>
    <font>
      <b/>
      <sz val="8.0"/>
      <color rgb="FF4472C4"/>
      <name val="Calibri"/>
    </font>
    <font>
      <b/>
      <sz val="10.0"/>
      <color rgb="FFFF0000"/>
      <name val="Calibri"/>
    </font>
    <font>
      <b/>
      <sz val="18.0"/>
      <color theme="1"/>
      <name val="Calibri"/>
    </font>
    <font>
      <u/>
      <color rgb="FF0000FF"/>
    </font>
    <font>
      <b/>
      <sz val="10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0.0"/>
      <color theme="1"/>
      <name val="Calibri"/>
    </font>
    <font>
      <b/>
      <u/>
      <sz val="10.0"/>
      <color rgb="FFFF0000"/>
      <name val="Calibri"/>
    </font>
    <font>
      <i/>
      <sz val="10.0"/>
      <color theme="1"/>
      <name val="Calibri"/>
    </font>
    <font>
      <b/>
      <color theme="1"/>
      <name val="Arial Narrow"/>
    </font>
    <font>
      <b/>
      <sz val="11.0"/>
      <color rgb="FFFF0000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</fills>
  <borders count="2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Border="1" applyFont="1"/>
    <xf borderId="1" fillId="2" fontId="3" numFmtId="0" xfId="0" applyBorder="1" applyFont="1"/>
    <xf borderId="1" fillId="2" fontId="1" numFmtId="0" xfId="0" applyBorder="1" applyFont="1"/>
    <xf borderId="1" fillId="3" fontId="4" numFmtId="0" xfId="0" applyAlignment="1" applyBorder="1" applyFill="1" applyFont="1">
      <alignment readingOrder="0"/>
    </xf>
    <xf borderId="1" fillId="3" fontId="5" numFmtId="0" xfId="0" applyBorder="1" applyFont="1"/>
    <xf borderId="1" fillId="2" fontId="5" numFmtId="0" xfId="0" applyBorder="1" applyFont="1"/>
    <xf borderId="1" fillId="3" fontId="1" numFmtId="0" xfId="0" applyBorder="1" applyFont="1"/>
    <xf borderId="1" fillId="3" fontId="5" numFmtId="0" xfId="0" applyAlignment="1" applyBorder="1" applyFont="1">
      <alignment readingOrder="0"/>
    </xf>
    <xf borderId="1" fillId="3" fontId="6" numFmtId="0" xfId="0" applyBorder="1" applyFont="1"/>
    <xf borderId="1" fillId="3" fontId="3" numFmtId="0" xfId="0" applyBorder="1" applyFont="1"/>
    <xf borderId="1" fillId="3" fontId="7" numFmtId="0" xfId="0" applyBorder="1" applyFont="1"/>
    <xf borderId="1" fillId="3" fontId="8" numFmtId="0" xfId="0" applyBorder="1" applyFont="1"/>
    <xf borderId="2" fillId="3" fontId="1" numFmtId="0" xfId="0" applyAlignment="1" applyBorder="1" applyFont="1">
      <alignment horizontal="left" readingOrder="0" shrinkToFit="0" vertical="top" wrapText="1"/>
    </xf>
    <xf borderId="3" fillId="0" fontId="9" numFmtId="0" xfId="0" applyBorder="1" applyFont="1"/>
    <xf borderId="4" fillId="0" fontId="9" numFmtId="0" xfId="0" applyBorder="1" applyFont="1"/>
    <xf borderId="1" fillId="3" fontId="10" numFmtId="0" xfId="0" applyAlignment="1" applyBorder="1" applyFont="1">
      <alignment readingOrder="0"/>
    </xf>
    <xf borderId="1" fillId="3" fontId="10" numFmtId="0" xfId="0" applyAlignment="1" applyBorder="1" applyFont="1">
      <alignment shrinkToFit="0" wrapText="1"/>
    </xf>
    <xf borderId="1" fillId="3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2" fillId="2" fontId="11" numFmtId="0" xfId="0" applyAlignment="1" applyBorder="1" applyFont="1">
      <alignment horizontal="center"/>
    </xf>
    <xf borderId="1" fillId="2" fontId="12" numFmtId="0" xfId="0" applyBorder="1" applyFont="1"/>
    <xf borderId="2" fillId="2" fontId="13" numFmtId="0" xfId="0" applyAlignment="1" applyBorder="1" applyFont="1">
      <alignment horizontal="center"/>
    </xf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0" fillId="0" fontId="4" numFmtId="0" xfId="0" applyFont="1"/>
    <xf borderId="0" fillId="0" fontId="14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0" fontId="14" numFmtId="10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7" numFmtId="0" xfId="0" applyFont="1"/>
    <xf borderId="0" fillId="0" fontId="1" numFmtId="0" xfId="0" applyAlignment="1" applyFont="1">
      <alignment shrinkToFit="0" wrapText="1"/>
    </xf>
    <xf borderId="0" fillId="0" fontId="13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Font="1"/>
    <xf borderId="0" fillId="0" fontId="4" numFmtId="0" xfId="0" applyAlignment="1" applyFont="1">
      <alignment readingOrder="0"/>
    </xf>
    <xf borderId="0" fillId="0" fontId="14" numFmtId="165" xfId="0" applyAlignment="1" applyFont="1" applyNumberFormat="1">
      <alignment readingOrder="0"/>
    </xf>
    <xf borderId="0" fillId="0" fontId="14" numFmtId="166" xfId="0" applyAlignment="1" applyFont="1" applyNumberFormat="1">
      <alignment readingOrder="0"/>
    </xf>
    <xf borderId="0" fillId="0" fontId="16" numFmtId="0" xfId="0" applyFont="1"/>
    <xf borderId="0" fillId="0" fontId="5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5" fillId="0" fontId="18" numFmtId="0" xfId="0" applyAlignment="1" applyBorder="1" applyFont="1">
      <alignment readingOrder="0" vertical="center"/>
    </xf>
    <xf borderId="6" fillId="0" fontId="19" numFmtId="0" xfId="0" applyAlignment="1" applyBorder="1" applyFont="1">
      <alignment vertical="center"/>
    </xf>
    <xf borderId="7" fillId="0" fontId="20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9" fillId="0" fontId="18" numFmtId="0" xfId="0" applyAlignment="1" applyBorder="1" applyFont="1">
      <alignment vertical="center"/>
    </xf>
    <xf borderId="10" fillId="0" fontId="19" numFmtId="0" xfId="0" applyAlignment="1" applyBorder="1" applyFont="1">
      <alignment readingOrder="0" vertical="center"/>
    </xf>
    <xf borderId="7" fillId="0" fontId="21" numFmtId="167" xfId="0" applyAlignment="1" applyBorder="1" applyFont="1" applyNumberFormat="1">
      <alignment horizontal="center" readingOrder="0" shrinkToFit="0" vertical="center" wrapText="1"/>
    </xf>
    <xf borderId="0" fillId="0" fontId="21" numFmtId="167" xfId="0" applyAlignment="1" applyFont="1" applyNumberFormat="1">
      <alignment horizontal="center" shrinkToFit="0" vertical="center" wrapText="1"/>
    </xf>
    <xf borderId="11" fillId="0" fontId="19" numFmtId="0" xfId="0" applyAlignment="1" applyBorder="1" applyFont="1">
      <alignment vertical="center"/>
    </xf>
    <xf borderId="0" fillId="0" fontId="22" numFmtId="0" xfId="0" applyAlignment="1" applyFont="1">
      <alignment readingOrder="0" vertical="center"/>
    </xf>
    <xf borderId="12" fillId="0" fontId="23" numFmtId="167" xfId="0" applyAlignment="1" applyBorder="1" applyFont="1" applyNumberFormat="1">
      <alignment horizontal="center" readingOrder="0" shrinkToFit="0" vertical="center" wrapText="1"/>
    </xf>
    <xf borderId="0" fillId="0" fontId="23" numFmtId="167" xfId="0" applyAlignment="1" applyFont="1" applyNumberFormat="1">
      <alignment horizontal="center" shrinkToFit="0" vertical="center" wrapText="1"/>
    </xf>
    <xf borderId="11" fillId="0" fontId="9" numFmtId="0" xfId="0" applyBorder="1" applyFont="1"/>
    <xf borderId="0" fillId="0" fontId="24" numFmtId="0" xfId="0" applyAlignment="1" applyFont="1">
      <alignment readingOrder="0" vertical="center"/>
    </xf>
    <xf borderId="13" fillId="0" fontId="23" numFmtId="167" xfId="0" applyAlignment="1" applyBorder="1" applyFont="1" applyNumberFormat="1">
      <alignment horizontal="center" readingOrder="0" shrinkToFit="0" vertical="center" wrapText="1"/>
    </xf>
    <xf borderId="13" fillId="0" fontId="23" numFmtId="167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25" numFmtId="0" xfId="0" applyAlignment="1" applyFont="1">
      <alignment vertical="center"/>
    </xf>
    <xf borderId="12" fillId="0" fontId="6" numFmtId="167" xfId="0" applyAlignment="1" applyBorder="1" applyFont="1" applyNumberFormat="1">
      <alignment horizontal="center" shrinkToFit="0" vertical="top" wrapText="1"/>
    </xf>
    <xf borderId="14" fillId="0" fontId="23" numFmtId="167" xfId="0" applyAlignment="1" applyBorder="1" applyFont="1" applyNumberFormat="1">
      <alignment horizontal="center" shrinkToFit="0" vertical="center" wrapText="1"/>
    </xf>
    <xf borderId="9" fillId="0" fontId="18" numFmtId="0" xfId="0" applyAlignment="1" applyBorder="1" applyFont="1">
      <alignment readingOrder="0" vertical="center"/>
    </xf>
    <xf borderId="10" fillId="0" fontId="18" numFmtId="0" xfId="0" applyAlignment="1" applyBorder="1" applyFont="1">
      <alignment vertical="center"/>
    </xf>
    <xf borderId="7" fillId="0" fontId="27" numFmtId="167" xfId="0" applyAlignment="1" applyBorder="1" applyFont="1" applyNumberFormat="1">
      <alignment horizontal="center" readingOrder="0" shrinkToFit="0" vertical="center" wrapText="1"/>
    </xf>
    <xf borderId="0" fillId="0" fontId="27" numFmtId="167" xfId="0" applyAlignment="1" applyFont="1" applyNumberFormat="1">
      <alignment horizontal="center" shrinkToFit="0" vertical="center" wrapText="1"/>
    </xf>
    <xf borderId="12" fillId="0" fontId="23" numFmtId="167" xfId="0" applyAlignment="1" applyBorder="1" applyFont="1" applyNumberFormat="1">
      <alignment readingOrder="0" shrinkToFit="0" vertical="center" wrapText="1"/>
    </xf>
    <xf borderId="13" fillId="0" fontId="23" numFmtId="167" xfId="0" applyAlignment="1" applyBorder="1" applyFont="1" applyNumberFormat="1">
      <alignment readingOrder="0" shrinkToFit="0" vertical="center" wrapText="1"/>
    </xf>
    <xf borderId="0" fillId="0" fontId="23" numFmtId="167" xfId="0" applyAlignment="1" applyFont="1" applyNumberFormat="1">
      <alignment shrinkToFit="0" vertical="center" wrapText="1"/>
    </xf>
    <xf borderId="0" fillId="0" fontId="28" numFmtId="0" xfId="0" applyAlignment="1" applyFont="1">
      <alignment readingOrder="0" vertical="center"/>
    </xf>
    <xf borderId="15" fillId="0" fontId="9" numFmtId="0" xfId="0" applyBorder="1" applyFont="1"/>
    <xf borderId="16" fillId="0" fontId="25" numFmtId="0" xfId="0" applyAlignment="1" applyBorder="1" applyFont="1">
      <alignment readingOrder="0" vertical="center"/>
    </xf>
    <xf borderId="11" fillId="0" fontId="22" numFmtId="0" xfId="0" applyAlignment="1" applyBorder="1" applyFont="1">
      <alignment vertical="center"/>
    </xf>
    <xf borderId="12" fillId="0" fontId="27" numFmtId="167" xfId="0" applyAlignment="1" applyBorder="1" applyFont="1" applyNumberFormat="1">
      <alignment horizontal="center" shrinkToFit="0" vertical="center" wrapText="1"/>
    </xf>
    <xf borderId="13" fillId="0" fontId="29" numFmtId="167" xfId="0" applyAlignment="1" applyBorder="1" applyFont="1" applyNumberFormat="1">
      <alignment horizontal="center" shrinkToFit="0" vertical="top" wrapText="1"/>
    </xf>
    <xf borderId="0" fillId="0" fontId="29" numFmtId="167" xfId="0" applyAlignment="1" applyFont="1" applyNumberFormat="1">
      <alignment horizontal="center" shrinkToFit="0" vertical="top" wrapText="1"/>
    </xf>
    <xf borderId="0" fillId="0" fontId="30" numFmtId="0" xfId="0" applyFont="1"/>
    <xf borderId="0" fillId="0" fontId="6" numFmtId="167" xfId="0" applyAlignment="1" applyFont="1" applyNumberFormat="1">
      <alignment horizontal="center" shrinkToFit="0" vertical="top" wrapText="1"/>
    </xf>
    <xf borderId="12" fillId="0" fontId="6" numFmtId="167" xfId="0" applyAlignment="1" applyBorder="1" applyFont="1" applyNumberFormat="1">
      <alignment horizontal="center" readingOrder="0" shrinkToFit="0" vertical="top" wrapText="1"/>
    </xf>
    <xf borderId="13" fillId="0" fontId="6" numFmtId="167" xfId="0" applyAlignment="1" applyBorder="1" applyFont="1" applyNumberFormat="1">
      <alignment horizontal="center" readingOrder="0" shrinkToFit="0" vertical="top" wrapText="1"/>
    </xf>
    <xf borderId="0" fillId="0" fontId="22" numFmtId="0" xfId="0" applyAlignment="1" applyFont="1">
      <alignment vertical="center"/>
    </xf>
    <xf borderId="13" fillId="0" fontId="6" numFmtId="167" xfId="0" applyAlignment="1" applyBorder="1" applyFont="1" applyNumberFormat="1">
      <alignment horizontal="center" shrinkToFit="0" vertical="top" wrapText="1"/>
    </xf>
    <xf borderId="16" fillId="0" fontId="26" numFmtId="0" xfId="0" applyAlignment="1" applyBorder="1" applyFont="1">
      <alignment vertical="center"/>
    </xf>
    <xf borderId="17" fillId="0" fontId="6" numFmtId="167" xfId="0" applyAlignment="1" applyBorder="1" applyFont="1" applyNumberFormat="1">
      <alignment horizontal="center" shrinkToFit="0" vertical="top" wrapText="1"/>
    </xf>
    <xf borderId="14" fillId="0" fontId="6" numFmtId="167" xfId="0" applyAlignment="1" applyBorder="1" applyFont="1" applyNumberFormat="1">
      <alignment horizontal="center" shrinkToFit="0" vertical="top" wrapText="1"/>
    </xf>
    <xf borderId="0" fillId="0" fontId="4" numFmtId="167" xfId="0" applyAlignment="1" applyFont="1" applyNumberFormat="1">
      <alignment readingOrder="0"/>
    </xf>
    <xf borderId="0" fillId="0" fontId="17" numFmtId="0" xfId="0" applyFont="1"/>
    <xf borderId="18" fillId="0" fontId="4" numFmtId="0" xfId="0" applyAlignment="1" applyBorder="1" applyFont="1">
      <alignment horizontal="center" shrinkToFit="0" vertical="center" wrapText="1"/>
    </xf>
    <xf borderId="18" fillId="4" fontId="31" numFmtId="0" xfId="0" applyAlignment="1" applyBorder="1" applyFill="1" applyFont="1">
      <alignment horizontal="center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horizontal="center" readingOrder="0" vertical="center"/>
    </xf>
    <xf borderId="18" fillId="0" fontId="5" numFmtId="167" xfId="0" applyAlignment="1" applyBorder="1" applyFont="1" applyNumberFormat="1">
      <alignment readingOrder="0" vertical="center"/>
    </xf>
    <xf borderId="0" fillId="0" fontId="8" numFmtId="167" xfId="0" applyAlignment="1" applyFont="1" applyNumberFormat="1">
      <alignment readingOrder="0"/>
    </xf>
    <xf borderId="18" fillId="0" fontId="5" numFmtId="167" xfId="0" applyAlignment="1" applyBorder="1" applyFont="1" applyNumberFormat="1">
      <alignment vertical="center"/>
    </xf>
    <xf borderId="18" fillId="0" fontId="5" numFmtId="167" xfId="0" applyAlignment="1" applyBorder="1" applyFont="1" applyNumberFormat="1">
      <alignment horizontal="right" readingOrder="0" vertical="center"/>
    </xf>
    <xf borderId="18" fillId="0" fontId="5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horizontal="center" vertical="center"/>
    </xf>
    <xf borderId="18" fillId="0" fontId="4" numFmtId="167" xfId="0" applyAlignment="1" applyBorder="1" applyFont="1" applyNumberFormat="1">
      <alignment vertical="center"/>
    </xf>
    <xf borderId="18" fillId="5" fontId="17" numFmtId="0" xfId="0" applyAlignment="1" applyBorder="1" applyFill="1" applyFont="1">
      <alignment shrinkToFit="0" vertical="center" wrapText="1"/>
    </xf>
    <xf borderId="18" fillId="5" fontId="4" numFmtId="0" xfId="0" applyAlignment="1" applyBorder="1" applyFont="1">
      <alignment horizontal="center" vertical="center"/>
    </xf>
    <xf borderId="18" fillId="5" fontId="4" numFmtId="167" xfId="0" applyAlignment="1" applyBorder="1" applyFont="1" applyNumberFormat="1">
      <alignment vertical="center"/>
    </xf>
    <xf borderId="18" fillId="0" fontId="17" numFmtId="0" xfId="0" applyBorder="1" applyFont="1"/>
    <xf borderId="18" fillId="0" fontId="5" numFmtId="0" xfId="0" applyAlignment="1" applyBorder="1" applyFont="1">
      <alignment horizontal="center"/>
    </xf>
    <xf borderId="18" fillId="0" fontId="4" numFmtId="9" xfId="0" applyAlignment="1" applyBorder="1" applyFont="1" applyNumberFormat="1">
      <alignment horizontal="center"/>
    </xf>
    <xf borderId="18" fillId="0" fontId="4" numFmtId="167" xfId="0" applyBorder="1" applyFont="1" applyNumberFormat="1"/>
    <xf borderId="18" fillId="0" fontId="5" numFmtId="167" xfId="0" applyBorder="1" applyFont="1" applyNumberFormat="1"/>
    <xf borderId="19" fillId="5" fontId="32" numFmtId="0" xfId="0" applyAlignment="1" applyBorder="1" applyFont="1">
      <alignment horizontal="center" shrinkToFit="0" vertical="center" wrapText="1"/>
    </xf>
    <xf borderId="20" fillId="0" fontId="9" numFmtId="0" xfId="0" applyBorder="1" applyFont="1"/>
    <xf borderId="1" fillId="5" fontId="33" numFmtId="9" xfId="0" applyAlignment="1" applyBorder="1" applyFont="1" applyNumberFormat="1">
      <alignment horizontal="center" vertical="center"/>
    </xf>
    <xf borderId="0" fillId="0" fontId="17" numFmtId="0" xfId="0" applyAlignment="1" applyFont="1">
      <alignment readingOrder="0"/>
    </xf>
    <xf borderId="18" fillId="0" fontId="4" numFmtId="0" xfId="0" applyAlignment="1" applyBorder="1" applyFont="1">
      <alignment horizontal="center" readingOrder="0" shrinkToFit="0" vertical="center" wrapText="1"/>
    </xf>
    <xf borderId="18" fillId="4" fontId="31" numFmtId="0" xfId="0" applyAlignment="1" applyBorder="1" applyFont="1">
      <alignment horizontal="center" readingOrder="0" shrinkToFit="0" vertical="center" wrapText="1"/>
    </xf>
    <xf borderId="18" fillId="5" fontId="17" numFmtId="0" xfId="0" applyAlignment="1" applyBorder="1" applyFont="1">
      <alignment readingOrder="0" shrinkToFit="0" vertical="center" wrapText="1"/>
    </xf>
    <xf borderId="18" fillId="5" fontId="4" numFmtId="0" xfId="0" applyAlignment="1" applyBorder="1" applyFont="1">
      <alignment horizontal="center" readingOrder="0" vertical="center"/>
    </xf>
    <xf borderId="18" fillId="5" fontId="4" numFmtId="167" xfId="0" applyAlignment="1" applyBorder="1" applyFont="1" applyNumberFormat="1">
      <alignment readingOrder="0" vertical="center"/>
    </xf>
    <xf borderId="18" fillId="0" fontId="17" numFmtId="0" xfId="0" applyAlignment="1" applyBorder="1" applyFont="1">
      <alignment readingOrder="0"/>
    </xf>
    <xf borderId="18" fillId="0" fontId="5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 readingOrder="0"/>
    </xf>
    <xf borderId="18" fillId="0" fontId="4" numFmtId="167" xfId="0" applyAlignment="1" applyBorder="1" applyFont="1" applyNumberFormat="1">
      <alignment readingOrder="0"/>
    </xf>
    <xf borderId="18" fillId="0" fontId="5" numFmtId="167" xfId="0" applyAlignment="1" applyBorder="1" applyFont="1" applyNumberFormat="1">
      <alignment readingOrder="0"/>
    </xf>
    <xf borderId="19" fillId="5" fontId="32" numFmtId="0" xfId="0" applyAlignment="1" applyBorder="1" applyFont="1">
      <alignment horizontal="center" readingOrder="0" shrinkToFit="0" vertical="center" wrapText="1"/>
    </xf>
    <xf borderId="1" fillId="5" fontId="33" numFmtId="0" xfId="0" applyAlignment="1" applyBorder="1" applyFont="1">
      <alignment horizontal="center" readingOrder="0" vertical="center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readingOrder="0" shrinkToFit="0" wrapText="0"/>
    </xf>
    <xf borderId="0" fillId="0" fontId="34" numFmtId="0" xfId="0" applyAlignment="1" applyFont="1">
      <alignment shrinkToFit="0" wrapText="0"/>
    </xf>
    <xf borderId="0" fillId="0" fontId="34" numFmtId="0" xfId="0" applyAlignment="1" applyFont="1">
      <alignment readingOrder="0" shrinkToFit="0" wrapText="0"/>
    </xf>
    <xf borderId="0" fillId="0" fontId="35" numFmtId="0" xfId="0" applyAlignment="1" applyFont="1">
      <alignment readingOrder="0" shrinkToFit="0" wrapText="0"/>
    </xf>
    <xf borderId="0" fillId="0" fontId="36" numFmtId="0" xfId="0" applyFont="1"/>
    <xf borderId="0" fillId="0" fontId="29" numFmtId="0" xfId="0" applyFont="1"/>
    <xf borderId="0" fillId="0" fontId="37" numFmtId="0" xfId="0" applyFont="1"/>
    <xf borderId="0" fillId="0" fontId="38" numFmtId="0" xfId="0" applyFont="1"/>
    <xf borderId="0" fillId="0" fontId="39" numFmtId="168" xfId="0" applyFont="1" applyNumberFormat="1"/>
    <xf borderId="0" fillId="0" fontId="39" numFmtId="0" xfId="0" applyAlignment="1" applyFont="1">
      <alignment horizontal="center"/>
    </xf>
    <xf borderId="0" fillId="0" fontId="39" numFmtId="0" xfId="0" applyFont="1"/>
    <xf borderId="18" fillId="0" fontId="36" numFmtId="0" xfId="0" applyAlignment="1" applyBorder="1" applyFont="1">
      <alignment horizontal="center" shrinkToFit="0" vertical="center" wrapText="1"/>
    </xf>
    <xf borderId="18" fillId="0" fontId="36" numFmtId="0" xfId="0" applyAlignment="1" applyBorder="1" applyFont="1">
      <alignment horizontal="center" vertical="center"/>
    </xf>
    <xf borderId="18" fillId="4" fontId="36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vertical="center"/>
    </xf>
    <xf borderId="18" fillId="0" fontId="36" numFmtId="0" xfId="0" applyAlignment="1" applyBorder="1" applyFont="1">
      <alignment horizontal="center" readingOrder="0" vertical="center"/>
    </xf>
    <xf borderId="18" fillId="0" fontId="36" numFmtId="4" xfId="0" applyAlignment="1" applyBorder="1" applyFont="1" applyNumberFormat="1">
      <alignment horizontal="center" readingOrder="0" vertical="center"/>
    </xf>
    <xf borderId="18" fillId="0" fontId="39" numFmtId="169" xfId="0" applyAlignment="1" applyBorder="1" applyFont="1" applyNumberFormat="1">
      <alignment horizontal="center" readingOrder="0" vertical="center"/>
    </xf>
    <xf borderId="18" fillId="0" fontId="39" numFmtId="0" xfId="0" applyAlignment="1" applyBorder="1" applyFont="1">
      <alignment horizontal="left" readingOrder="0" shrinkToFit="0" vertical="center" wrapText="1"/>
    </xf>
    <xf borderId="18" fillId="0" fontId="36" numFmtId="167" xfId="0" applyAlignment="1" applyBorder="1" applyFont="1" applyNumberFormat="1">
      <alignment readingOrder="0" vertical="center"/>
    </xf>
    <xf borderId="18" fillId="0" fontId="36" numFmtId="0" xfId="0" applyAlignment="1" applyBorder="1" applyFont="1">
      <alignment vertical="center"/>
    </xf>
    <xf borderId="18" fillId="0" fontId="36" numFmtId="167" xfId="0" applyAlignment="1" applyBorder="1" applyFont="1" applyNumberFormat="1">
      <alignment vertical="center"/>
    </xf>
    <xf borderId="0" fillId="0" fontId="36" numFmtId="0" xfId="0" applyAlignment="1" applyFont="1">
      <alignment vertical="center"/>
    </xf>
    <xf borderId="18" fillId="0" fontId="39" numFmtId="167" xfId="0" applyAlignment="1" applyBorder="1" applyFont="1" applyNumberFormat="1">
      <alignment vertical="center"/>
    </xf>
    <xf borderId="18" fillId="0" fontId="39" numFmtId="0" xfId="0" applyAlignment="1" applyBorder="1" applyFont="1">
      <alignment shrinkToFit="0" vertical="center" wrapText="1"/>
    </xf>
    <xf borderId="0" fillId="0" fontId="39" numFmtId="0" xfId="0" applyAlignment="1" applyFont="1">
      <alignment vertical="center"/>
    </xf>
    <xf borderId="18" fillId="0" fontId="36" numFmtId="170" xfId="0" applyAlignment="1" applyBorder="1" applyFont="1" applyNumberFormat="1">
      <alignment horizontal="center" readingOrder="0" vertical="center"/>
    </xf>
    <xf borderId="18" fillId="0" fontId="36" numFmtId="0" xfId="0" applyAlignment="1" applyBorder="1" applyFont="1">
      <alignment horizontal="left" readingOrder="0" shrinkToFit="0" vertical="center" wrapText="1"/>
    </xf>
    <xf borderId="18" fillId="0" fontId="39" numFmtId="0" xfId="0" applyAlignment="1" applyBorder="1" applyFont="1">
      <alignment vertical="center"/>
    </xf>
    <xf borderId="18" fillId="0" fontId="39" numFmtId="167" xfId="0" applyAlignment="1" applyBorder="1" applyFont="1" applyNumberFormat="1">
      <alignment readingOrder="0" vertical="center"/>
    </xf>
    <xf borderId="18" fillId="0" fontId="39" numFmtId="170" xfId="0" applyAlignment="1" applyBorder="1" applyFont="1" applyNumberFormat="1">
      <alignment horizontal="center" readingOrder="0" vertical="center"/>
    </xf>
    <xf borderId="18" fillId="0" fontId="36" numFmtId="0" xfId="0" applyAlignment="1" applyBorder="1" applyFont="1">
      <alignment shrinkToFit="0" vertical="center" wrapText="1"/>
    </xf>
    <xf borderId="18" fillId="0" fontId="36" numFmtId="0" xfId="0" applyAlignment="1" applyBorder="1" applyFont="1">
      <alignment horizontal="left" readingOrder="0" vertical="center"/>
    </xf>
    <xf borderId="18" fillId="0" fontId="14" numFmtId="0" xfId="0" applyBorder="1" applyFont="1"/>
    <xf borderId="18" fillId="0" fontId="39" numFmtId="168" xfId="0" applyAlignment="1" applyBorder="1" applyFont="1" applyNumberFormat="1">
      <alignment horizontal="center" vertical="center"/>
    </xf>
    <xf borderId="18" fillId="0" fontId="39" numFmtId="171" xfId="0" applyAlignment="1" applyBorder="1" applyFont="1" applyNumberFormat="1">
      <alignment vertical="center"/>
    </xf>
    <xf borderId="18" fillId="0" fontId="36" numFmtId="168" xfId="0" applyAlignment="1" applyBorder="1" applyFont="1" applyNumberFormat="1">
      <alignment horizontal="center" readingOrder="0" vertical="center"/>
    </xf>
    <xf borderId="21" fillId="0" fontId="36" numFmtId="0" xfId="0" applyAlignment="1" applyBorder="1" applyFont="1">
      <alignment vertical="center"/>
    </xf>
    <xf borderId="21" fillId="0" fontId="36" numFmtId="0" xfId="0" applyAlignment="1" applyBorder="1" applyFont="1">
      <alignment horizontal="center" vertical="center"/>
    </xf>
    <xf borderId="18" fillId="0" fontId="36" numFmtId="168" xfId="0" applyAlignment="1" applyBorder="1" applyFont="1" applyNumberFormat="1">
      <alignment horizontal="center" vertical="center"/>
    </xf>
    <xf borderId="18" fillId="0" fontId="39" numFmtId="0" xfId="0" applyAlignment="1" applyBorder="1" applyFont="1">
      <alignment horizontal="center" vertical="center"/>
    </xf>
    <xf borderId="0" fillId="0" fontId="36" numFmtId="168" xfId="0" applyAlignment="1" applyFont="1" applyNumberFormat="1">
      <alignment horizontal="center" vertical="center"/>
    </xf>
    <xf borderId="0" fillId="0" fontId="40" numFmtId="0" xfId="0" applyAlignment="1" applyFont="1">
      <alignment vertical="center"/>
    </xf>
    <xf borderId="0" fillId="0" fontId="39" numFmtId="167" xfId="0" applyAlignment="1" applyFont="1" applyNumberFormat="1">
      <alignment vertical="center"/>
    </xf>
    <xf borderId="0" fillId="0" fontId="41" numFmtId="0" xfId="0" applyAlignment="1" applyFont="1">
      <alignment vertical="center"/>
    </xf>
    <xf borderId="0" fillId="0" fontId="36" numFmtId="168" xfId="0" applyAlignment="1" applyFont="1" applyNumberFormat="1">
      <alignment vertical="center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8" fillId="4" fontId="42" numFmtId="0" xfId="0" applyAlignment="1" applyBorder="1" applyFont="1">
      <alignment horizontal="center" shrinkToFit="0" wrapText="0"/>
    </xf>
    <xf borderId="18" fillId="5" fontId="4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18" fillId="0" fontId="43" numFmtId="0" xfId="0" applyAlignment="1" applyBorder="1" applyFont="1">
      <alignment horizontal="center" shrinkToFit="0" wrapText="0"/>
    </xf>
    <xf borderId="18" fillId="0" fontId="5" numFmtId="0" xfId="0" applyAlignment="1" applyBorder="1" applyFont="1">
      <alignment shrinkToFit="0" wrapText="0"/>
    </xf>
    <xf borderId="18" fillId="0" fontId="4" numFmtId="0" xfId="0" applyAlignment="1" applyBorder="1" applyFont="1">
      <alignment readingOrder="0" shrinkToFit="0" wrapText="0"/>
    </xf>
    <xf borderId="18" fillId="0" fontId="5" numFmtId="167" xfId="0" applyAlignment="1" applyBorder="1" applyFont="1" applyNumberFormat="1">
      <alignment horizontal="right" shrinkToFit="0" wrapText="0"/>
    </xf>
    <xf borderId="18" fillId="6" fontId="43" numFmtId="0" xfId="0" applyAlignment="1" applyBorder="1" applyFill="1" applyFont="1">
      <alignment horizontal="center" shrinkToFit="0" wrapText="0"/>
    </xf>
    <xf borderId="18" fillId="6" fontId="4" numFmtId="0" xfId="0" applyAlignment="1" applyBorder="1" applyFont="1">
      <alignment shrinkToFit="0" wrapText="0"/>
    </xf>
    <xf borderId="18" fillId="6" fontId="5" numFmtId="0" xfId="0" applyAlignment="1" applyBorder="1" applyFont="1">
      <alignment readingOrder="0" shrinkToFit="0" wrapText="0"/>
    </xf>
    <xf borderId="18" fillId="6" fontId="5" numFmtId="167" xfId="0" applyAlignment="1" applyBorder="1" applyFont="1" applyNumberFormat="1">
      <alignment readingOrder="0" shrinkToFit="0" wrapText="0"/>
    </xf>
    <xf borderId="18" fillId="6" fontId="5" numFmtId="0" xfId="0" applyAlignment="1" applyBorder="1" applyFont="1">
      <alignment shrinkToFit="0" wrapText="0"/>
    </xf>
    <xf borderId="18" fillId="0" fontId="4" numFmtId="0" xfId="0" applyAlignment="1" applyBorder="1" applyFont="1">
      <alignment horizontal="center" shrinkToFit="0" wrapText="0"/>
    </xf>
    <xf borderId="18" fillId="0" fontId="5" numFmtId="0" xfId="0" applyAlignment="1" applyBorder="1" applyFont="1">
      <alignment readingOrder="0" shrinkToFit="0" wrapText="0"/>
    </xf>
    <xf borderId="18" fillId="0" fontId="5" numFmtId="0" xfId="0" applyAlignment="1" applyBorder="1" applyFont="1">
      <alignment readingOrder="0" shrinkToFit="0" vertical="bottom" wrapText="0"/>
    </xf>
    <xf borderId="18" fillId="0" fontId="5" numFmtId="167" xfId="0" applyAlignment="1" applyBorder="1" applyFont="1" applyNumberFormat="1">
      <alignment shrinkToFit="0" wrapText="0"/>
    </xf>
    <xf borderId="18" fillId="0" fontId="5" numFmtId="0" xfId="0" applyAlignment="1" applyBorder="1" applyFont="1">
      <alignment shrinkToFit="0" wrapText="0"/>
    </xf>
    <xf borderId="18" fillId="0" fontId="4" numFmtId="0" xfId="0" applyAlignment="1" applyBorder="1" applyFont="1">
      <alignment horizontal="center" readingOrder="0" shrinkToFit="0" wrapText="0"/>
    </xf>
    <xf borderId="18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18" fillId="6" fontId="5" numFmtId="0" xfId="0" applyAlignment="1" applyBorder="1" applyFont="1">
      <alignment readingOrder="0" shrinkToFit="0" wrapText="0"/>
    </xf>
    <xf borderId="18" fillId="0" fontId="5" numFmtId="167" xfId="0" applyAlignment="1" applyBorder="1" applyFont="1" applyNumberForma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4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409825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91100" cy="6543675"/>
    <xdr:sp>
      <xdr:nvSpPr>
        <xdr:cNvPr id="3" name="Shape 3"/>
        <xdr:cNvSpPr txBox="1"/>
      </xdr:nvSpPr>
      <xdr:spPr>
        <a:xfrm>
          <a:off x="2859975" y="517688"/>
          <a:ext cx="4972050" cy="65246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Formalisation de l'Entreprise: 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NIF: 2019011143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STAT: 62011 11 2024 0 11337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RCS: 2024 B 01310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Diverses autorisations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N°675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(12/08/2025) : 6 000 000 Ar - Marketing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N°803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(31/10/2025) : 2 100 000 Ar - Mobilier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N°807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(31/10/2025) : 400 000 Ar - Imprimante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N°809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(31/10/2025) : 3 600 000 Ar - Salaires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N°811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(31/10/2025) : 4 400 000 Ar -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Salaires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N°813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(31/10/2025) : 4 000 000 Ar -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Salaires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N°815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(31/10/2025) : 3 000 000 Ar - Salaires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-298450" lvl="0" marL="457200" rtl="0" algn="l">
            <a:lnSpc>
              <a:spcPct val="107916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Char char="●"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Autorisation N°817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(31/10/2025) : 5 000 000 Ar -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Salaires</a:t>
          </a:r>
          <a:endParaRPr sz="1100">
            <a:solidFill>
              <a:schemeClr val="dk1"/>
            </a:solidFill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800"/>
            </a:spcBef>
            <a:spcAft>
              <a:spcPts val="0"/>
            </a:spcAft>
            <a:buNone/>
          </a:pPr>
          <a:r>
            <a:t/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Avancement</a:t>
          </a:r>
          <a:r>
            <a:rPr b="1"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 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* Application: 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spcBef>
              <a:spcPts val="0"/>
            </a:spcBef>
            <a:spcAft>
              <a:spcPts val="0"/>
            </a:spcAft>
            <a:buSzPts val="1100"/>
            <a:buFont typeface="Roboto"/>
            <a:buChar char="-"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Développement déjà terminé, actuellement mis en marché de l’application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* Acquisition équipements : 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- Macbook pro M4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*Mesures environnementaux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spcBef>
              <a:spcPts val="0"/>
            </a:spcBef>
            <a:spcAft>
              <a:spcPts val="0"/>
            </a:spcAft>
            <a:buSzPts val="1100"/>
            <a:buFont typeface="Roboto"/>
            <a:buChar char="-"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Autorisation d’exercer de la part de l’office de l’environnement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*Déclarations sociales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spcBef>
              <a:spcPts val="0"/>
            </a:spcBef>
            <a:spcAft>
              <a:spcPts val="0"/>
            </a:spcAft>
            <a:buSzPts val="1100"/>
            <a:buFont typeface="Roboto"/>
            <a:buChar char="-"/>
          </a:pPr>
          <a:r>
            <a:rPr lang="en-US" sz="1100">
              <a:latin typeface="Roboto"/>
              <a:ea typeface="Roboto"/>
              <a:cs typeface="Roboto"/>
              <a:sym typeface="Roboto"/>
            </a:rPr>
            <a:t>En cours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Problèmes rencontrés</a:t>
          </a:r>
          <a:endParaRPr b="1" sz="1100"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spcBef>
              <a:spcPts val="0"/>
            </a:spcBef>
            <a:spcAft>
              <a:spcPts val="0"/>
            </a:spcAft>
            <a:buSzPts val="1100"/>
            <a:buFont typeface="Roboto"/>
            <a:buChar char="-"/>
          </a:pPr>
          <a:r>
            <a:rPr lang="en-US" sz="1100">
              <a:latin typeface="Roboto"/>
              <a:ea typeface="Roboto"/>
              <a:cs typeface="Roboto"/>
              <a:sym typeface="Roboto"/>
            </a:rPr>
            <a:t>Manque de ressources marketing dédiées et d’expérience dans la stratégie commerciale pour un écosystème agricole numérique. Difficultés à identifier les segments de marché prioritaires.</a:t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spcBef>
              <a:spcPts val="0"/>
            </a:spcBef>
            <a:spcAft>
              <a:spcPts val="0"/>
            </a:spcAft>
            <a:buSzPts val="1100"/>
            <a:buFont typeface="Roboto"/>
            <a:buChar char="-"/>
          </a:pPr>
          <a:r>
            <a:t/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Roboto"/>
            <a:ea typeface="Roboto"/>
            <a:cs typeface="Roboto"/>
            <a:sym typeface="Robot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 </a:t>
          </a:r>
          <a:r>
            <a:rPr b="1"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Solutions adoptées</a:t>
          </a:r>
          <a:r>
            <a:rPr b="1"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:</a:t>
          </a:r>
          <a:br>
            <a:rPr lang="en-US" sz="1100" u="sng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</a:br>
          <a:endParaRPr sz="1100">
            <a:solidFill>
              <a:schemeClr val="dk1"/>
            </a:solidFill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Roboto"/>
            <a:buChar char="-"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Recrutement en cours de spécialistes en marketing et communication.</a:t>
          </a:r>
          <a:endParaRPr sz="1100">
            <a:solidFill>
              <a:schemeClr val="dk1"/>
            </a:solidFill>
            <a:latin typeface="Roboto"/>
            <a:ea typeface="Roboto"/>
            <a:cs typeface="Roboto"/>
            <a:sym typeface="Roboto"/>
          </a:endParaRPr>
        </a:p>
        <a:p>
          <a:pPr indent="-298450" lvl="0" marL="45720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Roboto"/>
            <a:buChar char="-"/>
          </a:pPr>
          <a:r>
            <a:rPr lang="en-US" sz="1100">
              <a:solidFill>
                <a:schemeClr val="dk1"/>
              </a:solidFill>
              <a:latin typeface="Roboto"/>
              <a:ea typeface="Roboto"/>
              <a:cs typeface="Roboto"/>
              <a:sym typeface="Roboto"/>
            </a:rPr>
            <a:t>immatriculation CnAPS en cours</a:t>
          </a:r>
          <a:endParaRPr sz="1100">
            <a:solidFill>
              <a:schemeClr val="dk1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6629400" cy="466725"/>
    <xdr:grpSp>
      <xdr:nvGrpSpPr>
        <xdr:cNvPr id="2" name="Shape 2"/>
        <xdr:cNvGrpSpPr/>
      </xdr:nvGrpSpPr>
      <xdr:grpSpPr>
        <a:xfrm>
          <a:off x="2031300" y="3546638"/>
          <a:ext cx="6629400" cy="466725"/>
          <a:chOff x="2031300" y="3546638"/>
          <a:chExt cx="6629400" cy="466725"/>
        </a:xfrm>
      </xdr:grpSpPr>
      <xdr:grpSp>
        <xdr:nvGrpSpPr>
          <xdr:cNvPr id="4" name="Shape 4"/>
          <xdr:cNvGrpSpPr/>
        </xdr:nvGrpSpPr>
        <xdr:grpSpPr>
          <a:xfrm>
            <a:off x="2031300" y="3546638"/>
            <a:ext cx="6629400" cy="466725"/>
            <a:chOff x="0" y="209363"/>
            <a:chExt cx="8157215" cy="835379"/>
          </a:xfrm>
        </xdr:grpSpPr>
        <xdr:sp>
          <xdr:nvSpPr>
            <xdr:cNvPr id="5" name="Shape 5"/>
            <xdr:cNvSpPr/>
          </xdr:nvSpPr>
          <xdr:spPr>
            <a:xfrm>
              <a:off x="0" y="209363"/>
              <a:ext cx="8157200" cy="835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0" y="209363"/>
              <a:ext cx="8157215" cy="835379"/>
            </a:xfrm>
            <a:prstGeom prst="roundRect">
              <a:avLst>
                <a:gd fmla="val 16667" name="adj"/>
              </a:avLst>
            </a:prstGeom>
            <a:solidFill>
              <a:schemeClr val="accent2"/>
            </a:solidFill>
            <a:ln cap="flat" cmpd="sng" w="12700">
              <a:solidFill>
                <a:schemeClr val="lt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40780" y="250143"/>
              <a:ext cx="8075655" cy="75381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80000" lIns="80000" spcFirstLastPara="1" rIns="80000" wrap="square" tIns="80000">
              <a:noAutofit/>
            </a:bodyPr>
            <a:lstStyle/>
            <a:p>
              <a:pPr indent="0" lvl="0" marL="0" rtl="0" algn="l">
                <a:lnSpc>
                  <a:spcPct val="90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b="1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1.UTILISATION DE FONDS</a:t>
              </a:r>
              <a:endParaRPr sz="1200"/>
            </a:p>
          </xdr:txBody>
        </xdr:sp>
      </xdr:grpSp>
    </xdr:grpSp>
    <xdr:clientData fLocksWithSheet="0"/>
  </xdr:oneCellAnchor>
  <xdr:oneCellAnchor>
    <xdr:from>
      <xdr:col>1</xdr:col>
      <xdr:colOff>19050</xdr:colOff>
      <xdr:row>26</xdr:row>
      <xdr:rowOff>9525</xdr:rowOff>
    </xdr:from>
    <xdr:ext cx="6448425" cy="1533525"/>
    <xdr:sp>
      <xdr:nvSpPr>
        <xdr:cNvPr id="8" name="Shape 8"/>
        <xdr:cNvSpPr txBox="1"/>
      </xdr:nvSpPr>
      <xdr:spPr>
        <a:xfrm>
          <a:off x="2126550" y="3018000"/>
          <a:ext cx="6438900" cy="1524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Commentaires/remarques: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Subvention: RAS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38100</xdr:rowOff>
    </xdr:from>
    <xdr:ext cx="6515100" cy="438150"/>
    <xdr:grpSp>
      <xdr:nvGrpSpPr>
        <xdr:cNvPr id="2" name="Shape 2"/>
        <xdr:cNvGrpSpPr/>
      </xdr:nvGrpSpPr>
      <xdr:grpSpPr>
        <a:xfrm>
          <a:off x="2088450" y="3560925"/>
          <a:ext cx="6515100" cy="438150"/>
          <a:chOff x="2088450" y="3560925"/>
          <a:chExt cx="6515100" cy="438150"/>
        </a:xfrm>
      </xdr:grpSpPr>
      <xdr:grpSp>
        <xdr:nvGrpSpPr>
          <xdr:cNvPr id="9" name="Shape 9"/>
          <xdr:cNvGrpSpPr/>
        </xdr:nvGrpSpPr>
        <xdr:grpSpPr>
          <a:xfrm>
            <a:off x="2088450" y="3560925"/>
            <a:ext cx="6515100" cy="438150"/>
            <a:chOff x="0" y="209363"/>
            <a:chExt cx="8157215" cy="835379"/>
          </a:xfrm>
        </xdr:grpSpPr>
        <xdr:sp>
          <xdr:nvSpPr>
            <xdr:cNvPr id="5" name="Shape 5"/>
            <xdr:cNvSpPr/>
          </xdr:nvSpPr>
          <xdr:spPr>
            <a:xfrm>
              <a:off x="0" y="209363"/>
              <a:ext cx="8157200" cy="835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>
              <a:off x="0" y="209363"/>
              <a:ext cx="8157215" cy="835379"/>
            </a:xfrm>
            <a:prstGeom prst="roundRect">
              <a:avLst>
                <a:gd fmla="val 16667" name="adj"/>
              </a:avLst>
            </a:prstGeom>
            <a:solidFill>
              <a:srgbClr val="8DA9DB"/>
            </a:solidFill>
            <a:ln cap="flat" cmpd="sng" w="12700">
              <a:solidFill>
                <a:schemeClr val="lt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40780" y="250144"/>
              <a:ext cx="8075655" cy="53934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80000" lIns="80000" spcFirstLastPara="1" rIns="80000" wrap="square" tIns="80000">
              <a:noAutofit/>
            </a:bodyPr>
            <a:lstStyle/>
            <a:p>
              <a:pPr indent="0" lvl="0" marL="0" rtl="0" algn="l">
                <a:lnSpc>
                  <a:spcPct val="90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b="1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2. SUIVI</a:t>
              </a:r>
              <a:r>
                <a:rPr b="1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 BUDGETAIRE</a:t>
              </a:r>
              <a:endParaRPr sz="1200"/>
            </a:p>
          </xdr:txBody>
        </xdr:sp>
      </xdr:grpSp>
    </xdr:grpSp>
    <xdr:clientData fLocksWithSheet="0"/>
  </xdr:oneCellAnchor>
  <xdr:oneCellAnchor>
    <xdr:from>
      <xdr:col>0</xdr:col>
      <xdr:colOff>85725</xdr:colOff>
      <xdr:row>16</xdr:row>
      <xdr:rowOff>123825</xdr:rowOff>
    </xdr:from>
    <xdr:ext cx="7038975" cy="771525"/>
    <xdr:sp>
      <xdr:nvSpPr>
        <xdr:cNvPr id="12" name="Shape 12"/>
        <xdr:cNvSpPr txBox="1"/>
      </xdr:nvSpPr>
      <xdr:spPr>
        <a:xfrm>
          <a:off x="1836038" y="3337088"/>
          <a:ext cx="7019925" cy="8858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Commentaires/remarques : La réalisation dépasse la prévision et Fataplus à apporté de son fond propre de 208000 MGA</a:t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95250</xdr:colOff>
      <xdr:row>41</xdr:row>
      <xdr:rowOff>171450</xdr:rowOff>
    </xdr:from>
    <xdr:ext cx="7029450" cy="990600"/>
    <xdr:sp>
      <xdr:nvSpPr>
        <xdr:cNvPr id="13" name="Shape 13"/>
        <xdr:cNvSpPr txBox="1"/>
      </xdr:nvSpPr>
      <xdr:spPr>
        <a:xfrm>
          <a:off x="1836038" y="3289463"/>
          <a:ext cx="7019925" cy="9810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Commentaires/remarques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95250</xdr:colOff>
      <xdr:row>36</xdr:row>
      <xdr:rowOff>-19050</xdr:rowOff>
    </xdr:from>
    <xdr:ext cx="7019925" cy="38100"/>
    <xdr:sp>
      <xdr:nvSpPr>
        <xdr:cNvPr id="14" name="Shape 14"/>
        <xdr:cNvSpPr txBox="1"/>
      </xdr:nvSpPr>
      <xdr:spPr>
        <a:xfrm>
          <a:off x="1836038" y="3780000"/>
          <a:ext cx="7019925" cy="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Commentaires/remarques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114300</xdr:rowOff>
    </xdr:from>
    <xdr:ext cx="5029200" cy="447675"/>
    <xdr:grpSp>
      <xdr:nvGrpSpPr>
        <xdr:cNvPr id="2" name="Shape 2"/>
        <xdr:cNvGrpSpPr/>
      </xdr:nvGrpSpPr>
      <xdr:grpSpPr>
        <a:xfrm>
          <a:off x="2831400" y="3556163"/>
          <a:ext cx="5029200" cy="447675"/>
          <a:chOff x="2831400" y="3556163"/>
          <a:chExt cx="5029200" cy="447675"/>
        </a:xfrm>
      </xdr:grpSpPr>
      <xdr:grpSp>
        <xdr:nvGrpSpPr>
          <xdr:cNvPr id="15" name="Shape 15"/>
          <xdr:cNvGrpSpPr/>
        </xdr:nvGrpSpPr>
        <xdr:grpSpPr>
          <a:xfrm>
            <a:off x="2831400" y="3556163"/>
            <a:ext cx="5029200" cy="447675"/>
            <a:chOff x="291507" y="1445513"/>
            <a:chExt cx="5501640" cy="449580"/>
          </a:xfrm>
        </xdr:grpSpPr>
        <xdr:sp>
          <xdr:nvSpPr>
            <xdr:cNvPr id="5" name="Shape 5"/>
            <xdr:cNvSpPr/>
          </xdr:nvSpPr>
          <xdr:spPr>
            <a:xfrm>
              <a:off x="291507" y="1445513"/>
              <a:ext cx="5501625" cy="44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6" name="Shape 16"/>
            <xdr:cNvSpPr/>
          </xdr:nvSpPr>
          <xdr:spPr>
            <a:xfrm>
              <a:off x="291507" y="1445513"/>
              <a:ext cx="5300817" cy="413004"/>
            </a:xfrm>
            <a:prstGeom prst="rect">
              <a:avLst/>
            </a:prstGeom>
            <a:solidFill>
              <a:schemeClr val="accent4"/>
            </a:solidFill>
            <a:ln cap="flat" cmpd="sng" w="19050">
              <a:solidFill>
                <a:schemeClr val="lt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" name="Shape 17"/>
            <xdr:cNvSpPr txBox="1"/>
          </xdr:nvSpPr>
          <xdr:spPr>
            <a:xfrm>
              <a:off x="291507" y="1445513"/>
              <a:ext cx="5501640" cy="44958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35550" lIns="327800" spcFirstLastPara="1" rIns="35550" wrap="square" tIns="35550">
              <a:noAutofit/>
            </a:bodyPr>
            <a:lstStyle/>
            <a:p>
              <a:pPr indent="0" lvl="0" marL="0" rtl="0" algn="l">
                <a:lnSpc>
                  <a:spcPct val="90000"/>
                </a:lnSpc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b="1"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Les annexes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rive.google.com/drive/folders/1jVeGo-LB5eokuRpjXF60O9ZXDI1O3Hz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Fataplus/Fataplus-Agritech-Platform" TargetMode="External"/><Relationship Id="rId2" Type="http://schemas.openxmlformats.org/officeDocument/2006/relationships/hyperlink" Target="http://facebook.com/mg.fataplus" TargetMode="External"/><Relationship Id="rId3" Type="http://schemas.openxmlformats.org/officeDocument/2006/relationships/hyperlink" Target="http://deepwiki.com/Fataplus" TargetMode="External"/><Relationship Id="rId4" Type="http://schemas.openxmlformats.org/officeDocument/2006/relationships/hyperlink" Target="http://drive.google.com/drive/folders/1jVeGo-LB5eokuRpjXF60O9ZXDI1O3HzE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Fataplus" TargetMode="External"/><Relationship Id="rId2" Type="http://schemas.openxmlformats.org/officeDocument/2006/relationships/hyperlink" Target="http://facebook.com/mg.fataplus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5" width="11.57"/>
    <col customWidth="1" min="6" max="6" width="14.57"/>
    <col customWidth="1" min="7" max="26" width="11.57"/>
  </cols>
  <sheetData>
    <row r="1" ht="14.25" customHeight="1">
      <c r="A1" s="1"/>
      <c r="B1" s="2"/>
      <c r="C1" s="3"/>
      <c r="D1" s="3"/>
      <c r="E1" s="3"/>
      <c r="F1" s="3"/>
      <c r="G1" s="3"/>
    </row>
    <row r="2" ht="14.25" customHeight="1">
      <c r="A2" s="1"/>
      <c r="B2" s="2"/>
      <c r="C2" s="3"/>
      <c r="D2" s="3"/>
      <c r="E2" s="3"/>
      <c r="F2" s="3"/>
      <c r="G2" s="3"/>
    </row>
    <row r="3" ht="14.25" customHeight="1">
      <c r="A3" s="1"/>
      <c r="B3" s="2"/>
      <c r="C3" s="3"/>
      <c r="D3" s="3"/>
      <c r="E3" s="3"/>
      <c r="F3" s="3"/>
      <c r="G3" s="3"/>
    </row>
    <row r="4" ht="14.25" customHeight="1">
      <c r="A4" s="1"/>
      <c r="B4" s="2"/>
      <c r="C4" s="3"/>
      <c r="D4" s="3"/>
      <c r="E4" s="3"/>
      <c r="F4" s="3"/>
      <c r="G4" s="3"/>
    </row>
    <row r="5" ht="14.25" customHeight="1">
      <c r="A5" s="1"/>
      <c r="B5" s="2"/>
      <c r="C5" s="3"/>
      <c r="D5" s="3"/>
      <c r="E5" s="3"/>
      <c r="F5" s="3"/>
      <c r="G5" s="3"/>
    </row>
    <row r="6" ht="14.25" customHeight="1">
      <c r="A6" s="1"/>
      <c r="B6" s="2"/>
      <c r="C6" s="3"/>
      <c r="D6" s="3"/>
      <c r="E6" s="3"/>
      <c r="F6" s="3"/>
      <c r="G6" s="3"/>
    </row>
    <row r="7" ht="14.25" customHeight="1">
      <c r="A7" s="4" t="s">
        <v>0</v>
      </c>
      <c r="B7" s="5" t="s">
        <v>1</v>
      </c>
      <c r="C7" s="6"/>
      <c r="D7" s="6"/>
      <c r="E7" s="6"/>
      <c r="F7" s="6"/>
      <c r="G7" s="7"/>
    </row>
    <row r="8" ht="14.25" customHeight="1">
      <c r="A8" s="4" t="s">
        <v>2</v>
      </c>
      <c r="B8" s="7" t="s">
        <v>3</v>
      </c>
      <c r="C8" s="7"/>
      <c r="D8" s="7"/>
      <c r="E8" s="7"/>
      <c r="F8" s="7"/>
      <c r="G8" s="7"/>
    </row>
    <row r="9" ht="14.25" customHeight="1">
      <c r="A9" s="8" t="s">
        <v>4</v>
      </c>
      <c r="B9" s="9" t="s">
        <v>5</v>
      </c>
      <c r="C9" s="10"/>
      <c r="D9" s="10"/>
      <c r="E9" s="10"/>
      <c r="F9" s="10"/>
      <c r="G9" s="6"/>
    </row>
    <row r="10" ht="14.25" customHeight="1">
      <c r="A10" s="8" t="s">
        <v>6</v>
      </c>
      <c r="B10" s="9" t="s">
        <v>7</v>
      </c>
      <c r="C10" s="11"/>
      <c r="D10" s="11"/>
      <c r="E10" s="11"/>
      <c r="F10" s="12"/>
      <c r="G10" s="11"/>
    </row>
    <row r="11" ht="14.25" customHeight="1">
      <c r="A11" s="8" t="s">
        <v>8</v>
      </c>
      <c r="B11" s="13">
        <f>261342047213</f>
        <v>261342047213</v>
      </c>
      <c r="C11" s="11"/>
      <c r="D11" s="11"/>
      <c r="E11" s="11"/>
      <c r="F11" s="12"/>
      <c r="G11" s="11"/>
    </row>
    <row r="12" ht="40.5" customHeight="1">
      <c r="A12" s="14" t="s">
        <v>9</v>
      </c>
      <c r="B12" s="15"/>
      <c r="C12" s="15"/>
      <c r="D12" s="15"/>
      <c r="E12" s="15"/>
      <c r="F12" s="15"/>
      <c r="G12" s="16"/>
    </row>
    <row r="13" ht="14.25" customHeight="1">
      <c r="A13" s="8" t="s">
        <v>10</v>
      </c>
      <c r="B13" s="17">
        <v>39.0</v>
      </c>
      <c r="C13" s="18"/>
      <c r="D13" s="18"/>
      <c r="E13" s="18"/>
      <c r="F13" s="18"/>
      <c r="G13" s="19"/>
    </row>
    <row r="14" ht="14.25" customHeight="1">
      <c r="A14" s="20"/>
      <c r="B14" s="20"/>
      <c r="C14" s="20"/>
      <c r="D14" s="20"/>
      <c r="E14" s="20"/>
      <c r="F14" s="20"/>
      <c r="G14" s="20"/>
    </row>
    <row r="15" ht="14.25" customHeight="1">
      <c r="A15" s="3"/>
      <c r="B15" s="3"/>
      <c r="C15" s="3"/>
      <c r="D15" s="3"/>
      <c r="E15" s="3"/>
      <c r="F15" s="3"/>
      <c r="G15" s="3"/>
    </row>
    <row r="16" ht="14.25" customHeight="1">
      <c r="A16" s="7"/>
      <c r="B16" s="7"/>
      <c r="C16" s="7"/>
      <c r="D16" s="7"/>
      <c r="E16" s="7"/>
      <c r="F16" s="7"/>
      <c r="G16" s="7"/>
    </row>
    <row r="17" ht="14.25" customHeight="1">
      <c r="A17" s="7"/>
      <c r="B17" s="7"/>
      <c r="C17" s="7"/>
      <c r="D17" s="7"/>
      <c r="E17" s="7"/>
      <c r="F17" s="7"/>
      <c r="G17" s="7"/>
    </row>
    <row r="18" ht="14.25" customHeight="1">
      <c r="A18" s="7"/>
      <c r="B18" s="7"/>
      <c r="C18" s="7"/>
      <c r="D18" s="7"/>
      <c r="E18" s="7"/>
      <c r="F18" s="7"/>
      <c r="G18" s="7"/>
    </row>
    <row r="19" ht="14.25" customHeight="1">
      <c r="A19" s="7"/>
      <c r="B19" s="7"/>
      <c r="C19" s="7"/>
      <c r="D19" s="7"/>
      <c r="E19" s="7"/>
      <c r="F19" s="7"/>
      <c r="G19" s="7"/>
    </row>
    <row r="20" ht="14.25" customHeight="1">
      <c r="A20" s="21"/>
      <c r="B20" s="15"/>
      <c r="C20" s="15"/>
      <c r="D20" s="15"/>
      <c r="E20" s="15"/>
      <c r="F20" s="15"/>
      <c r="G20" s="16"/>
    </row>
    <row r="21" ht="14.25" customHeight="1">
      <c r="A21" s="22"/>
      <c r="B21" s="7"/>
      <c r="C21" s="22"/>
      <c r="D21" s="7"/>
      <c r="E21" s="7"/>
      <c r="F21" s="7"/>
      <c r="G21" s="7"/>
    </row>
    <row r="22" ht="14.25" customHeight="1">
      <c r="A22" s="7"/>
      <c r="B22" s="7"/>
      <c r="C22" s="7"/>
      <c r="D22" s="7"/>
      <c r="E22" s="7"/>
      <c r="F22" s="7"/>
      <c r="G22" s="7"/>
    </row>
    <row r="23" ht="14.25" customHeight="1">
      <c r="A23" s="7"/>
      <c r="B23" s="7"/>
      <c r="C23" s="7"/>
      <c r="D23" s="7"/>
      <c r="E23" s="7"/>
      <c r="F23" s="7"/>
      <c r="G23" s="7"/>
    </row>
    <row r="24" ht="14.25" customHeight="1">
      <c r="A24" s="7"/>
      <c r="B24" s="7"/>
      <c r="C24" s="7"/>
      <c r="D24" s="7"/>
      <c r="E24" s="7"/>
      <c r="F24" s="7"/>
      <c r="G24" s="7"/>
    </row>
    <row r="25" ht="14.25" customHeight="1">
      <c r="A25" s="7"/>
      <c r="B25" s="7"/>
      <c r="C25" s="7"/>
      <c r="D25" s="7"/>
      <c r="E25" s="7"/>
      <c r="F25" s="7"/>
      <c r="G25" s="7"/>
    </row>
    <row r="26" ht="14.25" customHeight="1">
      <c r="A26" s="7"/>
      <c r="B26" s="7"/>
      <c r="C26" s="7"/>
      <c r="D26" s="7"/>
      <c r="E26" s="7"/>
      <c r="F26" s="7"/>
      <c r="G26" s="7"/>
    </row>
    <row r="27" ht="14.25" customHeight="1">
      <c r="A27" s="23" t="s">
        <v>11</v>
      </c>
      <c r="B27" s="15"/>
      <c r="C27" s="15"/>
      <c r="D27" s="15"/>
      <c r="E27" s="15"/>
      <c r="F27" s="15"/>
      <c r="G27" s="16"/>
    </row>
    <row r="28" ht="14.25" customHeight="1">
      <c r="A28" s="21" t="s">
        <v>12</v>
      </c>
      <c r="B28" s="15"/>
      <c r="C28" s="15"/>
      <c r="D28" s="15"/>
      <c r="E28" s="15"/>
      <c r="F28" s="15"/>
      <c r="G28" s="16"/>
    </row>
    <row r="29" ht="14.25" customHeight="1">
      <c r="A29" s="7"/>
      <c r="B29" s="24"/>
      <c r="C29" s="25" t="s">
        <v>13</v>
      </c>
      <c r="D29" s="24"/>
      <c r="E29" s="7"/>
      <c r="F29" s="7"/>
      <c r="G29" s="7"/>
    </row>
    <row r="30" ht="14.25" customHeight="1">
      <c r="A30" s="7"/>
      <c r="B30" s="7"/>
      <c r="C30" s="26" t="s">
        <v>14</v>
      </c>
      <c r="D30" s="7"/>
      <c r="E30" s="7"/>
      <c r="F30" s="7"/>
      <c r="G30" s="7"/>
    </row>
    <row r="31" ht="14.25" customHeight="1">
      <c r="A31" s="7"/>
      <c r="B31" s="7"/>
      <c r="C31" s="7"/>
      <c r="D31" s="7"/>
      <c r="E31" s="7"/>
      <c r="F31" s="7"/>
      <c r="G31" s="7"/>
    </row>
    <row r="32" ht="14.25" customHeight="1">
      <c r="A32" s="7"/>
      <c r="B32" s="7"/>
      <c r="C32" s="7"/>
      <c r="D32" s="7"/>
      <c r="E32" s="7"/>
      <c r="F32" s="7"/>
      <c r="G32" s="7"/>
    </row>
    <row r="33" ht="14.25" customHeight="1">
      <c r="A33" s="7"/>
      <c r="B33" s="7"/>
      <c r="C33" s="7"/>
      <c r="D33" s="7"/>
      <c r="E33" s="7"/>
      <c r="F33" s="7"/>
      <c r="G33" s="7"/>
    </row>
    <row r="34" ht="14.25" customHeight="1">
      <c r="A34" s="7"/>
      <c r="B34" s="7"/>
      <c r="C34" s="7"/>
      <c r="D34" s="7"/>
      <c r="E34" s="7"/>
      <c r="F34" s="7"/>
      <c r="G34" s="7"/>
    </row>
    <row r="35" ht="14.25" customHeight="1">
      <c r="A35" s="7"/>
      <c r="B35" s="7"/>
      <c r="C35" s="7"/>
      <c r="D35" s="7"/>
      <c r="E35" s="7"/>
      <c r="F35" s="7"/>
      <c r="G35" s="7"/>
    </row>
    <row r="36" ht="14.25" customHeight="1">
      <c r="A36" s="7"/>
      <c r="B36" s="7"/>
      <c r="C36" s="7"/>
      <c r="D36" s="7"/>
      <c r="E36" s="7"/>
      <c r="F36" s="7"/>
      <c r="G36" s="7"/>
    </row>
    <row r="37" ht="14.25" customHeight="1">
      <c r="A37" s="7"/>
      <c r="B37" s="7"/>
      <c r="C37" s="7"/>
      <c r="D37" s="7"/>
      <c r="E37" s="7"/>
      <c r="F37" s="7"/>
      <c r="G37" s="7"/>
    </row>
    <row r="38" ht="14.25" customHeight="1">
      <c r="A38" s="7"/>
      <c r="B38" s="7"/>
      <c r="C38" s="7"/>
      <c r="D38" s="7"/>
      <c r="E38" s="7"/>
      <c r="F38" s="7"/>
      <c r="G38" s="7"/>
    </row>
    <row r="39" ht="14.25" customHeight="1">
      <c r="A39" s="7"/>
      <c r="B39" s="7"/>
      <c r="C39" s="7"/>
      <c r="D39" s="7"/>
      <c r="E39" s="7"/>
      <c r="F39" s="7"/>
      <c r="G39" s="7"/>
    </row>
    <row r="40" ht="14.25" customHeight="1">
      <c r="A40" s="7"/>
      <c r="B40" s="7"/>
      <c r="C40" s="7"/>
      <c r="D40" s="7"/>
      <c r="E40" s="7"/>
      <c r="F40" s="7"/>
      <c r="G40" s="7"/>
    </row>
    <row r="41" ht="14.25" customHeight="1">
      <c r="A41" s="7"/>
      <c r="B41" s="7"/>
      <c r="C41" s="7"/>
      <c r="D41" s="7"/>
      <c r="E41" s="7"/>
      <c r="F41" s="7"/>
      <c r="G41" s="7"/>
    </row>
    <row r="42" ht="14.25" customHeight="1">
      <c r="A42" s="7"/>
      <c r="B42" s="7"/>
      <c r="C42" s="7"/>
      <c r="D42" s="7"/>
      <c r="E42" s="7"/>
      <c r="F42" s="7"/>
      <c r="G42" s="7"/>
    </row>
    <row r="43" ht="14.25" customHeight="1">
      <c r="A43" s="7"/>
      <c r="B43" s="7"/>
      <c r="C43" s="7"/>
      <c r="D43" s="7"/>
      <c r="E43" s="7"/>
      <c r="F43" s="7"/>
      <c r="G43" s="7"/>
    </row>
    <row r="44" ht="14.25" customHeight="1">
      <c r="A44" s="7"/>
      <c r="B44" s="7"/>
      <c r="C44" s="7"/>
      <c r="D44" s="7"/>
      <c r="E44" s="7"/>
      <c r="F44" s="7"/>
      <c r="G44" s="7"/>
    </row>
    <row r="45" ht="14.25" customHeight="1">
      <c r="A45" s="7"/>
      <c r="B45" s="7"/>
      <c r="C45" s="7"/>
      <c r="D45" s="7"/>
      <c r="E45" s="7"/>
      <c r="F45" s="7"/>
      <c r="G45" s="7"/>
    </row>
    <row r="46" ht="14.25" customHeight="1">
      <c r="A46" s="7"/>
      <c r="B46" s="7"/>
      <c r="C46" s="7"/>
      <c r="D46" s="7"/>
      <c r="E46" s="7"/>
      <c r="F46" s="7"/>
      <c r="G46" s="7"/>
    </row>
    <row r="47" ht="14.25" customHeight="1">
      <c r="A47" s="7"/>
      <c r="B47" s="7"/>
      <c r="C47" s="7"/>
      <c r="D47" s="7"/>
      <c r="E47" s="7"/>
      <c r="F47" s="7"/>
      <c r="G47" s="7"/>
    </row>
    <row r="48" ht="14.25" customHeight="1">
      <c r="B48" s="27" t="s">
        <v>15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2:G12"/>
    <mergeCell ref="A20:G20"/>
    <mergeCell ref="A27:G27"/>
    <mergeCell ref="A28:G28"/>
  </mergeCells>
  <printOptions/>
  <pageMargins bottom="0.75" footer="0.0" header="0.0" left="0.7" right="0.7" top="0.75"/>
  <pageSetup paperSize="9" scale="8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C9" s="28" t="s">
        <v>16</v>
      </c>
    </row>
    <row r="10" ht="14.25" customHeight="1">
      <c r="C10" s="28" t="s">
        <v>17</v>
      </c>
    </row>
    <row r="11" ht="14.25" customHeight="1">
      <c r="C11" s="28" t="s">
        <v>18</v>
      </c>
    </row>
    <row r="12" ht="14.25" customHeight="1"/>
    <row r="13" ht="14.25" customHeight="1"/>
    <row r="14" ht="14.25" customHeight="1">
      <c r="A14" s="28" t="s">
        <v>19</v>
      </c>
    </row>
    <row r="15" ht="14.25" customHeight="1"/>
    <row r="16" ht="14.25" customHeight="1">
      <c r="A16" s="28" t="s">
        <v>20</v>
      </c>
      <c r="B16" s="28" t="s">
        <v>5</v>
      </c>
    </row>
    <row r="17" ht="14.25" customHeight="1">
      <c r="A17" s="28" t="s">
        <v>21</v>
      </c>
      <c r="B17" s="28" t="s">
        <v>22</v>
      </c>
    </row>
    <row r="18" ht="14.25" customHeight="1">
      <c r="A18" s="28" t="s">
        <v>23</v>
      </c>
      <c r="B18" s="28" t="s">
        <v>24</v>
      </c>
    </row>
    <row r="19" ht="14.25" customHeight="1">
      <c r="A19" s="28" t="s">
        <v>25</v>
      </c>
      <c r="B19" s="28" t="s">
        <v>26</v>
      </c>
    </row>
    <row r="20" ht="14.25" customHeight="1">
      <c r="A20" s="28" t="s">
        <v>27</v>
      </c>
      <c r="B20" s="28" t="s">
        <v>28</v>
      </c>
    </row>
    <row r="21" ht="14.25" customHeight="1">
      <c r="A21" s="28" t="s">
        <v>29</v>
      </c>
      <c r="B21" s="29">
        <v>45961.0</v>
      </c>
    </row>
    <row r="22" ht="14.25" customHeight="1"/>
    <row r="23" ht="14.25" customHeight="1"/>
    <row r="24" ht="14.25" customHeight="1">
      <c r="A24" s="28" t="s">
        <v>30</v>
      </c>
    </row>
    <row r="25" ht="14.25" customHeight="1"/>
    <row r="26" ht="14.25" customHeight="1">
      <c r="A26" s="28" t="s">
        <v>31</v>
      </c>
      <c r="B26" s="28" t="s">
        <v>32</v>
      </c>
    </row>
    <row r="27" ht="14.25" customHeight="1">
      <c r="A27" s="28" t="s">
        <v>33</v>
      </c>
      <c r="B27" s="28">
        <v>3.25E7</v>
      </c>
    </row>
    <row r="28" ht="14.25" customHeight="1">
      <c r="A28" s="28" t="s">
        <v>34</v>
      </c>
      <c r="B28" s="28">
        <v>2.85E7</v>
      </c>
    </row>
    <row r="29" ht="14.25" customHeight="1">
      <c r="A29" s="28" t="s">
        <v>35</v>
      </c>
      <c r="B29" s="28">
        <v>300000.0</v>
      </c>
    </row>
    <row r="30" ht="14.25" customHeight="1">
      <c r="A30" s="28" t="s">
        <v>36</v>
      </c>
      <c r="B30" s="28">
        <v>6.11E7</v>
      </c>
    </row>
    <row r="31" ht="14.25" customHeight="1"/>
    <row r="32" ht="14.25" customHeight="1">
      <c r="A32" s="28" t="s">
        <v>37</v>
      </c>
      <c r="B32" s="28" t="s">
        <v>32</v>
      </c>
    </row>
    <row r="33" ht="14.25" customHeight="1">
      <c r="A33" s="28" t="s">
        <v>33</v>
      </c>
      <c r="B33" s="28">
        <v>3.1908E7</v>
      </c>
    </row>
    <row r="34" ht="14.25" customHeight="1">
      <c r="A34" s="28" t="s">
        <v>34</v>
      </c>
      <c r="B34" s="28">
        <v>2.85E7</v>
      </c>
    </row>
    <row r="35" ht="14.25" customHeight="1">
      <c r="A35" s="28" t="s">
        <v>38</v>
      </c>
      <c r="B35" s="28">
        <v>6.0408E7</v>
      </c>
    </row>
    <row r="36" ht="14.25" customHeight="1"/>
    <row r="37" ht="14.25" customHeight="1">
      <c r="A37" s="28" t="s">
        <v>39</v>
      </c>
      <c r="B37" s="28">
        <v>692000.0</v>
      </c>
    </row>
    <row r="38" ht="14.25" customHeight="1"/>
    <row r="39" ht="14.25" customHeight="1"/>
    <row r="40" ht="14.25" customHeight="1">
      <c r="A40" s="28" t="s">
        <v>40</v>
      </c>
      <c r="B40" s="28" t="s">
        <v>32</v>
      </c>
      <c r="C40" s="28" t="s">
        <v>41</v>
      </c>
    </row>
    <row r="41" ht="14.25" customHeight="1"/>
    <row r="42" ht="14.25" customHeight="1">
      <c r="A42" s="28" t="s">
        <v>42</v>
      </c>
      <c r="B42" s="28">
        <v>1.1E7</v>
      </c>
      <c r="C42" s="30">
        <v>0.386</v>
      </c>
    </row>
    <row r="43" ht="14.25" customHeight="1">
      <c r="A43" s="28" t="s">
        <v>43</v>
      </c>
      <c r="B43" s="28">
        <v>6000000.0</v>
      </c>
    </row>
    <row r="44" ht="14.25" customHeight="1">
      <c r="A44" s="28" t="s">
        <v>44</v>
      </c>
      <c r="B44" s="28">
        <v>5000000.0</v>
      </c>
    </row>
    <row r="45" ht="14.25" customHeight="1"/>
    <row r="46" ht="14.25" customHeight="1">
      <c r="A46" s="28" t="s">
        <v>45</v>
      </c>
      <c r="B46" s="28">
        <v>8400000.0</v>
      </c>
      <c r="C46" s="30">
        <v>0.295</v>
      </c>
    </row>
    <row r="47" ht="14.25" customHeight="1">
      <c r="A47" s="28" t="s">
        <v>46</v>
      </c>
      <c r="B47" s="28">
        <v>4400000.0</v>
      </c>
    </row>
    <row r="48" ht="14.25" customHeight="1">
      <c r="A48" s="28" t="s">
        <v>47</v>
      </c>
      <c r="B48" s="28">
        <v>4000000.0</v>
      </c>
    </row>
    <row r="49" ht="14.25" customHeight="1"/>
    <row r="50" ht="14.25" customHeight="1">
      <c r="A50" s="28" t="s">
        <v>48</v>
      </c>
      <c r="B50" s="28">
        <v>5500000.0</v>
      </c>
      <c r="C50" s="30">
        <v>0.193</v>
      </c>
    </row>
    <row r="51" ht="14.25" customHeight="1">
      <c r="A51" s="28" t="s">
        <v>49</v>
      </c>
      <c r="B51" s="28">
        <v>3000000.0</v>
      </c>
    </row>
    <row r="52" ht="14.25" customHeight="1">
      <c r="A52" s="28" t="s">
        <v>50</v>
      </c>
      <c r="B52" s="28">
        <v>2100000.0</v>
      </c>
    </row>
    <row r="53" ht="14.25" customHeight="1">
      <c r="A53" s="28" t="s">
        <v>51</v>
      </c>
      <c r="B53" s="28">
        <v>400000.0</v>
      </c>
    </row>
    <row r="54" ht="14.25" customHeight="1"/>
    <row r="55" ht="14.25" customHeight="1">
      <c r="A55" s="28" t="s">
        <v>52</v>
      </c>
      <c r="B55" s="28">
        <v>3600000.0</v>
      </c>
      <c r="C55" s="30">
        <v>0.126</v>
      </c>
    </row>
    <row r="56" ht="14.25" customHeight="1">
      <c r="A56" s="28" t="s">
        <v>53</v>
      </c>
      <c r="B56" s="28">
        <v>3600000.0</v>
      </c>
    </row>
    <row r="57" ht="14.25" customHeight="1"/>
    <row r="58" ht="14.25" customHeight="1">
      <c r="A58" s="28" t="s">
        <v>54</v>
      </c>
      <c r="B58" s="28">
        <v>2.85E7</v>
      </c>
      <c r="C58" s="30">
        <v>1.0</v>
      </c>
    </row>
    <row r="59" ht="14.25" customHeight="1"/>
    <row r="60" ht="14.25" customHeight="1"/>
    <row r="61" ht="14.25" customHeight="1">
      <c r="A61" s="28" t="s">
        <v>55</v>
      </c>
    </row>
    <row r="62" ht="14.25" customHeight="1"/>
    <row r="63" ht="14.25" customHeight="1">
      <c r="A63" s="28" t="s">
        <v>56</v>
      </c>
    </row>
    <row r="64" ht="14.25" customHeight="1">
      <c r="A64" s="28" t="s">
        <v>57</v>
      </c>
      <c r="B64" s="28" t="s">
        <v>58</v>
      </c>
    </row>
    <row r="65" ht="14.25" customHeight="1">
      <c r="A65" s="28" t="s">
        <v>59</v>
      </c>
      <c r="B65" s="28" t="s">
        <v>60</v>
      </c>
    </row>
    <row r="66" ht="14.25" customHeight="1"/>
    <row r="67" ht="14.25" customHeight="1">
      <c r="A67" s="28" t="s">
        <v>61</v>
      </c>
    </row>
    <row r="68" ht="14.25" customHeight="1">
      <c r="A68" s="28" t="s">
        <v>62</v>
      </c>
      <c r="B68" s="28" t="s">
        <v>63</v>
      </c>
    </row>
    <row r="69" ht="14.25" customHeight="1">
      <c r="A69" s="28" t="s">
        <v>64</v>
      </c>
      <c r="B69" s="28" t="s">
        <v>65</v>
      </c>
    </row>
    <row r="70" ht="14.25" customHeight="1">
      <c r="A70" s="28" t="s">
        <v>66</v>
      </c>
      <c r="B70" s="28" t="s">
        <v>67</v>
      </c>
    </row>
    <row r="71" ht="14.25" customHeight="1"/>
    <row r="72" ht="14.25" customHeight="1">
      <c r="A72" s="28" t="s">
        <v>68</v>
      </c>
    </row>
    <row r="73" ht="14.25" customHeight="1">
      <c r="A73" s="28" t="s">
        <v>69</v>
      </c>
      <c r="B73" s="28" t="s">
        <v>70</v>
      </c>
    </row>
    <row r="74" ht="14.25" customHeight="1">
      <c r="A74" s="28" t="s">
        <v>71</v>
      </c>
      <c r="B74" s="28" t="s">
        <v>72</v>
      </c>
    </row>
    <row r="75" ht="14.25" customHeight="1">
      <c r="A75" s="28" t="s">
        <v>73</v>
      </c>
      <c r="B75" s="28" t="s">
        <v>74</v>
      </c>
    </row>
    <row r="76" ht="14.25" customHeight="1"/>
    <row r="77" ht="14.25" customHeight="1"/>
    <row r="78" ht="14.25" customHeight="1">
      <c r="A78" s="28" t="s">
        <v>75</v>
      </c>
    </row>
    <row r="79" ht="14.25" customHeight="1"/>
    <row r="80" ht="14.25" customHeight="1">
      <c r="A80" s="28" t="s">
        <v>76</v>
      </c>
      <c r="B80" s="28" t="s">
        <v>77</v>
      </c>
    </row>
    <row r="81" ht="14.25" customHeight="1">
      <c r="A81" s="28" t="s">
        <v>78</v>
      </c>
      <c r="B81" s="28">
        <v>500000.0</v>
      </c>
    </row>
    <row r="82" ht="14.25" customHeight="1">
      <c r="A82" s="28" t="s">
        <v>79</v>
      </c>
      <c r="B82" s="28">
        <v>100000.0</v>
      </c>
    </row>
    <row r="83" ht="14.25" customHeight="1">
      <c r="A83" s="28" t="s">
        <v>80</v>
      </c>
      <c r="B83" s="28">
        <v>1200000.0</v>
      </c>
    </row>
    <row r="84" ht="14.25" customHeight="1">
      <c r="A84" s="28" t="s">
        <v>81</v>
      </c>
      <c r="B84" s="28">
        <v>1500000.0</v>
      </c>
    </row>
    <row r="85" ht="14.25" customHeight="1"/>
    <row r="86" ht="14.25" customHeight="1">
      <c r="A86" s="28" t="s">
        <v>82</v>
      </c>
    </row>
    <row r="87" ht="14.25" customHeight="1">
      <c r="A87" s="28" t="s">
        <v>83</v>
      </c>
      <c r="B87" s="28" t="s">
        <v>84</v>
      </c>
    </row>
    <row r="88" ht="14.25" customHeight="1">
      <c r="A88" s="28" t="s">
        <v>85</v>
      </c>
      <c r="B88" s="28" t="s">
        <v>86</v>
      </c>
    </row>
    <row r="89" ht="14.25" customHeight="1">
      <c r="A89" s="28" t="s">
        <v>87</v>
      </c>
      <c r="B89" s="28" t="s">
        <v>88</v>
      </c>
    </row>
    <row r="90" ht="14.25" customHeight="1">
      <c r="A90" s="28" t="s">
        <v>89</v>
      </c>
      <c r="B90" s="28" t="s">
        <v>90</v>
      </c>
    </row>
    <row r="91" ht="14.25" customHeight="1"/>
    <row r="92" ht="14.25" customHeight="1"/>
    <row r="93" ht="14.25" customHeight="1">
      <c r="A93" s="28" t="s">
        <v>91</v>
      </c>
    </row>
    <row r="94" ht="14.25" customHeight="1">
      <c r="A94" s="28" t="s">
        <v>92</v>
      </c>
    </row>
    <row r="95" ht="14.25" customHeight="1">
      <c r="A95" s="31" t="s">
        <v>93</v>
      </c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95"/>
  </hyperlinks>
  <printOptions/>
  <pageMargins bottom="0.7480314960629921" footer="0.0" header="0.0" left="0.7086614173228347" right="0.7086614173228347" top="0.7480314960629921"/>
  <pageSetup paperSize="9" orientation="portrait"/>
  <headerFooter>
    <oddHeader>&amp;LRAPPORT TECHNIQUE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5" width="10.71"/>
    <col customWidth="1" min="6" max="6" width="6.0"/>
    <col customWidth="1" min="7" max="7" width="20.29"/>
    <col customWidth="1" min="8" max="26" width="10.71"/>
  </cols>
  <sheetData>
    <row r="1" ht="14.25" customHeight="1">
      <c r="A1" s="32"/>
      <c r="B1" s="33"/>
      <c r="C1" s="34"/>
      <c r="D1" s="34"/>
      <c r="E1" s="34"/>
      <c r="F1" s="35"/>
      <c r="G1" s="34"/>
    </row>
    <row r="2" ht="14.25" customHeight="1">
      <c r="A2" s="32"/>
      <c r="B2" s="33"/>
      <c r="C2" s="34"/>
      <c r="D2" s="34"/>
      <c r="E2" s="34"/>
      <c r="F2" s="35"/>
      <c r="G2" s="34"/>
    </row>
    <row r="3" ht="14.25" customHeight="1">
      <c r="A3" s="32"/>
      <c r="B3" s="33"/>
      <c r="C3" s="34"/>
      <c r="D3" s="34"/>
      <c r="E3" s="34"/>
      <c r="F3" s="34"/>
      <c r="G3" s="34"/>
    </row>
    <row r="4" ht="63.0" customHeight="1">
      <c r="A4" s="36"/>
      <c r="B4" s="36"/>
      <c r="C4" s="36"/>
      <c r="D4" s="36"/>
      <c r="E4" s="36"/>
      <c r="F4" s="36"/>
      <c r="G4" s="36"/>
    </row>
    <row r="5" ht="9.75" customHeight="1">
      <c r="A5" s="36"/>
      <c r="B5" s="36"/>
      <c r="C5" s="36"/>
      <c r="D5" s="36"/>
      <c r="E5" s="36"/>
      <c r="F5" s="36"/>
      <c r="G5" s="36"/>
    </row>
    <row r="6" ht="6.75" customHeight="1">
      <c r="A6" s="34"/>
      <c r="B6" s="34"/>
      <c r="C6" s="34"/>
      <c r="D6" s="34"/>
      <c r="E6" s="34"/>
      <c r="F6" s="34"/>
      <c r="G6" s="34"/>
    </row>
    <row r="7" ht="14.25" customHeight="1"/>
    <row r="8" ht="14.25" customHeight="1"/>
    <row r="9" ht="14.25" customHeight="1"/>
    <row r="10" ht="14.25" customHeight="1"/>
    <row r="11" ht="14.25" customHeight="1">
      <c r="A11" s="37" t="s">
        <v>11</v>
      </c>
    </row>
    <row r="12" ht="14.25" customHeight="1">
      <c r="A12" s="38" t="s">
        <v>94</v>
      </c>
    </row>
    <row r="13" ht="14.25" customHeight="1"/>
    <row r="14" ht="14.25" customHeight="1">
      <c r="A14" s="39"/>
      <c r="C14" s="39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>
      <c r="C34" s="30"/>
    </row>
    <row r="35" ht="14.25" customHeight="1">
      <c r="C35" s="30"/>
    </row>
    <row r="36" ht="14.25" customHeight="1">
      <c r="C36" s="30"/>
    </row>
    <row r="37" ht="14.25" customHeight="1">
      <c r="C37" s="30"/>
    </row>
    <row r="38" ht="14.25" customHeight="1"/>
    <row r="39" ht="14.25" customHeight="1">
      <c r="B39" s="40"/>
      <c r="C39" s="30"/>
    </row>
    <row r="40" ht="14.25" customHeight="1"/>
    <row r="41" ht="14.25" customHeight="1"/>
    <row r="42" ht="14.25" customHeight="1"/>
    <row r="43" ht="14.25" customHeight="1"/>
    <row r="44" ht="14.25" customHeight="1">
      <c r="B44" s="41"/>
    </row>
    <row r="45" ht="14.25" customHeight="1">
      <c r="B45" s="42"/>
    </row>
    <row r="46" ht="14.25" customHeight="1">
      <c r="B46" s="42"/>
    </row>
    <row r="47" ht="14.25" customHeight="1">
      <c r="B47" s="42"/>
    </row>
    <row r="48" ht="14.25" customHeight="1">
      <c r="B48" s="42"/>
    </row>
    <row r="49" ht="14.25" customHeight="1">
      <c r="B49" s="42"/>
    </row>
    <row r="50" ht="14.25" customHeight="1">
      <c r="B50" s="42"/>
    </row>
    <row r="51" ht="14.25" customHeight="1">
      <c r="B51" s="42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1:G11"/>
    <mergeCell ref="A12:G12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0.71"/>
    <col customWidth="1" min="3" max="3" width="45.86"/>
    <col customWidth="1" min="4" max="4" width="23.29"/>
    <col customWidth="1" min="5" max="5" width="17.14"/>
    <col customWidth="1" min="6" max="6" width="2.29"/>
    <col customWidth="1" min="7" max="26" width="10.71"/>
  </cols>
  <sheetData>
    <row r="1" ht="14.2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7"/>
      <c r="B2" s="43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/>
    <row r="4" ht="14.25" customHeight="1"/>
    <row r="5" ht="14.25" customHeight="1"/>
    <row r="6" ht="14.25" customHeight="1">
      <c r="A6" s="44"/>
      <c r="B6" s="45" t="s">
        <v>95</v>
      </c>
      <c r="C6" s="44"/>
      <c r="D6" s="46"/>
      <c r="E6" s="47" t="s">
        <v>96</v>
      </c>
      <c r="F6" s="48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4.25" customHeight="1">
      <c r="B7" s="49" t="s">
        <v>97</v>
      </c>
      <c r="C7" s="50"/>
      <c r="D7" s="51">
        <v>6.03E7</v>
      </c>
      <c r="E7" s="52">
        <v>6.03E7</v>
      </c>
      <c r="F7" s="53"/>
    </row>
    <row r="8" ht="14.25" customHeight="1">
      <c r="B8" s="54"/>
      <c r="C8" s="55" t="s">
        <v>98</v>
      </c>
      <c r="D8" s="56">
        <v>3.25E7</v>
      </c>
      <c r="E8" s="56">
        <v>3.25E7</v>
      </c>
      <c r="F8" s="57"/>
    </row>
    <row r="9" ht="14.25" customHeight="1">
      <c r="B9" s="58"/>
      <c r="C9" s="59" t="s">
        <v>99</v>
      </c>
      <c r="D9" s="60">
        <v>2.85E7</v>
      </c>
      <c r="E9" s="60">
        <v>2.85E7</v>
      </c>
      <c r="F9" s="61"/>
    </row>
    <row r="10" ht="14.25" customHeight="1">
      <c r="B10" s="62"/>
      <c r="C10" s="63" t="s">
        <v>100</v>
      </c>
      <c r="D10" s="60" t="s">
        <v>101</v>
      </c>
      <c r="E10" s="64" t="s">
        <v>101</v>
      </c>
      <c r="F10" s="61"/>
    </row>
    <row r="11" ht="14.25" customHeight="1">
      <c r="B11" s="58"/>
      <c r="C11" s="63" t="s">
        <v>102</v>
      </c>
      <c r="D11" s="60" t="s">
        <v>101</v>
      </c>
      <c r="E11" s="65"/>
      <c r="F11" s="61"/>
    </row>
    <row r="12" ht="14.25" customHeight="1">
      <c r="B12" s="58"/>
      <c r="C12" s="59" t="s">
        <v>103</v>
      </c>
      <c r="D12" s="60">
        <v>300000.0</v>
      </c>
      <c r="E12" s="60">
        <v>300000.0</v>
      </c>
      <c r="F12" s="61"/>
    </row>
    <row r="13" ht="14.25" customHeight="1">
      <c r="B13" s="62"/>
      <c r="C13" s="66" t="s">
        <v>104</v>
      </c>
      <c r="D13" s="60" t="s">
        <v>101</v>
      </c>
      <c r="E13" s="65"/>
      <c r="F13" s="61"/>
    </row>
    <row r="14" ht="14.25" customHeight="1">
      <c r="B14" s="62"/>
      <c r="C14" s="67" t="s">
        <v>105</v>
      </c>
      <c r="D14" s="60" t="s">
        <v>101</v>
      </c>
      <c r="E14" s="64" t="s">
        <v>101</v>
      </c>
      <c r="F14" s="61"/>
    </row>
    <row r="15" ht="14.25" customHeight="1">
      <c r="B15" s="58"/>
      <c r="C15" s="68"/>
      <c r="D15" s="69"/>
      <c r="E15" s="70"/>
      <c r="F15" s="61"/>
    </row>
    <row r="16" ht="14.25" customHeight="1">
      <c r="B16" s="71" t="s">
        <v>106</v>
      </c>
      <c r="C16" s="72"/>
      <c r="D16" s="73">
        <v>3.1908E7</v>
      </c>
      <c r="E16" s="73">
        <v>3.1908E7</v>
      </c>
      <c r="F16" s="74"/>
    </row>
    <row r="17" ht="14.25" customHeight="1">
      <c r="B17" s="58"/>
      <c r="C17" s="59" t="s">
        <v>107</v>
      </c>
      <c r="D17" s="75">
        <v>3.1908E7</v>
      </c>
      <c r="E17" s="76">
        <v>3.1908E7</v>
      </c>
      <c r="F17" s="77"/>
    </row>
    <row r="18" ht="14.25" customHeight="1">
      <c r="B18" s="62"/>
      <c r="C18" s="78" t="s">
        <v>108</v>
      </c>
      <c r="D18" s="60">
        <v>3.1908E7</v>
      </c>
      <c r="E18" s="60">
        <v>3.1908E7</v>
      </c>
      <c r="F18" s="77"/>
    </row>
    <row r="19" ht="14.25" customHeight="1">
      <c r="B19" s="79"/>
      <c r="C19" s="80" t="s">
        <v>105</v>
      </c>
      <c r="D19" s="60" t="s">
        <v>101</v>
      </c>
      <c r="E19" s="60" t="s">
        <v>101</v>
      </c>
      <c r="F19" s="61"/>
    </row>
    <row r="20" ht="14.25" customHeight="1">
      <c r="B20" s="71" t="s">
        <v>109</v>
      </c>
      <c r="C20" s="72"/>
      <c r="D20" s="73">
        <v>2.8392E7</v>
      </c>
      <c r="E20" s="73">
        <v>2.8392E7</v>
      </c>
      <c r="F20" s="74"/>
    </row>
    <row r="21" ht="14.25" customHeight="1">
      <c r="B21" s="81"/>
      <c r="C21" s="59" t="s">
        <v>110</v>
      </c>
      <c r="D21" s="82"/>
      <c r="E21" s="83"/>
      <c r="F21" s="84"/>
      <c r="G21" s="85"/>
      <c r="H21" s="85"/>
    </row>
    <row r="22" ht="14.25" customHeight="1">
      <c r="B22" s="62"/>
      <c r="C22" s="78" t="s">
        <v>104</v>
      </c>
      <c r="D22" s="60">
        <v>2.8392E7</v>
      </c>
      <c r="E22" s="60">
        <v>2.8392E7</v>
      </c>
      <c r="F22" s="86"/>
      <c r="G22" s="85"/>
      <c r="H22" s="85"/>
    </row>
    <row r="23" ht="14.25" customHeight="1">
      <c r="B23" s="62"/>
      <c r="C23" s="67" t="s">
        <v>105</v>
      </c>
      <c r="D23" s="87" t="s">
        <v>101</v>
      </c>
      <c r="E23" s="88" t="s">
        <v>101</v>
      </c>
      <c r="F23" s="86"/>
      <c r="G23" s="85"/>
      <c r="H23" s="85"/>
    </row>
    <row r="24" ht="14.25" customHeight="1">
      <c r="B24" s="81"/>
      <c r="C24" s="89"/>
      <c r="D24" s="69"/>
      <c r="E24" s="90"/>
      <c r="F24" s="86"/>
      <c r="G24" s="85"/>
      <c r="H24" s="85"/>
    </row>
    <row r="25" ht="14.25" customHeight="1">
      <c r="B25" s="79"/>
      <c r="C25" s="91"/>
      <c r="D25" s="92"/>
      <c r="E25" s="93"/>
      <c r="F25" s="86"/>
      <c r="G25" s="85"/>
      <c r="H25" s="85"/>
    </row>
    <row r="26" ht="14.25" customHeight="1">
      <c r="B26" s="27"/>
      <c r="C26" s="40" t="s">
        <v>111</v>
      </c>
      <c r="D26" s="94">
        <v>2.8392E7</v>
      </c>
      <c r="E26" s="27"/>
      <c r="F26" s="27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9:B10"/>
    <mergeCell ref="B12:B14"/>
    <mergeCell ref="B17:B19"/>
    <mergeCell ref="B21:B23"/>
    <mergeCell ref="B24:B25"/>
  </mergeCells>
  <printOptions/>
  <pageMargins bottom="0.7480314960629921" footer="0.0" header="0.0" left="0.7086614173228347" right="0.3937007874015748" top="0.7480314960629921"/>
  <pageSetup paperSize="9" orientation="portrait"/>
  <headerFooter>
    <oddHeader>&amp;LRAPPORT FINANCIER</oddHeader>
  </headerFooter>
  <colBreaks count="1" manualBreakCount="1">
    <brk id="6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27.29"/>
    <col customWidth="1" min="3" max="3" width="23.29"/>
    <col customWidth="1" min="4" max="4" width="20.57"/>
    <col customWidth="1" min="5" max="5" width="25.0"/>
    <col customWidth="1" min="6" max="6" width="20.71"/>
    <col customWidth="1" min="7" max="16" width="11.57"/>
  </cols>
  <sheetData>
    <row r="1" ht="14.25" customHeight="1">
      <c r="A1" s="27"/>
      <c r="B1" s="27"/>
      <c r="C1" s="27"/>
      <c r="D1" s="27"/>
      <c r="E1" s="27">
        <f>'Page de garde'!B13</f>
        <v>39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ht="14.25" customHeight="1">
      <c r="A2" s="27"/>
      <c r="B2" s="43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ht="14.25" customHeight="1"/>
    <row r="4" ht="14.25" customHeight="1"/>
    <row r="5" ht="14.25" customHeight="1"/>
    <row r="6" ht="14.25" customHeight="1">
      <c r="B6" s="95" t="s">
        <v>112</v>
      </c>
      <c r="C6" s="27"/>
      <c r="E6" s="27"/>
    </row>
    <row r="7" ht="14.25" customHeight="1">
      <c r="B7" s="95"/>
      <c r="E7" s="27"/>
    </row>
    <row r="8" ht="14.25" customHeight="1">
      <c r="B8" s="95" t="s">
        <v>113</v>
      </c>
      <c r="E8" s="27"/>
      <c r="F8" s="27" t="s">
        <v>96</v>
      </c>
    </row>
    <row r="9" ht="14.25" customHeight="1">
      <c r="B9" s="96" t="s">
        <v>114</v>
      </c>
      <c r="C9" s="97" t="s">
        <v>115</v>
      </c>
      <c r="D9" s="96" t="s">
        <v>116</v>
      </c>
      <c r="E9" s="96" t="s">
        <v>117</v>
      </c>
      <c r="F9" s="96" t="s">
        <v>118</v>
      </c>
    </row>
    <row r="10" ht="14.25" customHeight="1">
      <c r="A10" s="44"/>
      <c r="B10" s="98" t="s">
        <v>119</v>
      </c>
      <c r="C10" s="99" t="s">
        <v>120</v>
      </c>
      <c r="D10" s="100">
        <v>1.1708E7</v>
      </c>
      <c r="E10" s="101">
        <v>1.15E7</v>
      </c>
      <c r="F10" s="102">
        <f t="shared" ref="F10:F14" si="1">D10-E10</f>
        <v>208000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ht="14.25" customHeight="1">
      <c r="A11" s="44"/>
      <c r="B11" s="98" t="s">
        <v>121</v>
      </c>
      <c r="C11" s="99" t="s">
        <v>122</v>
      </c>
      <c r="D11" s="103">
        <v>2.02E7</v>
      </c>
      <c r="E11" s="103">
        <v>2.02E7</v>
      </c>
      <c r="F11" s="102">
        <f t="shared" si="1"/>
        <v>0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ht="14.25" customHeight="1">
      <c r="A12" s="44"/>
      <c r="B12" s="104"/>
      <c r="C12" s="105"/>
      <c r="D12" s="102"/>
      <c r="E12" s="106"/>
      <c r="F12" s="102">
        <f t="shared" si="1"/>
        <v>0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4.25" customHeight="1">
      <c r="A13" s="44"/>
      <c r="B13" s="104"/>
      <c r="C13" s="105"/>
      <c r="D13" s="102"/>
      <c r="E13" s="106"/>
      <c r="F13" s="102">
        <f t="shared" si="1"/>
        <v>0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4.25" customHeight="1">
      <c r="B14" s="107" t="s">
        <v>123</v>
      </c>
      <c r="C14" s="108"/>
      <c r="D14" s="109">
        <f t="shared" ref="D14:E14" si="2">SUM(D10:D13)</f>
        <v>31908000</v>
      </c>
      <c r="E14" s="109">
        <f t="shared" si="2"/>
        <v>31700000</v>
      </c>
      <c r="F14" s="109">
        <f t="shared" si="1"/>
        <v>208000</v>
      </c>
    </row>
    <row r="15" ht="14.25" customHeight="1">
      <c r="B15" s="110" t="s">
        <v>124</v>
      </c>
      <c r="C15" s="111"/>
      <c r="D15" s="112">
        <f>D14/E14</f>
        <v>1.006561514</v>
      </c>
      <c r="E15" s="113"/>
      <c r="F15" s="114"/>
    </row>
    <row r="16" ht="27.0" customHeight="1">
      <c r="B16" s="115" t="s">
        <v>125</v>
      </c>
      <c r="C16" s="116"/>
      <c r="D16" s="117">
        <f>D14/(E14-E13)</f>
        <v>1.006561514</v>
      </c>
      <c r="E16" s="115" t="s">
        <v>126</v>
      </c>
      <c r="F16" s="116"/>
    </row>
    <row r="17" ht="14.25" customHeight="1">
      <c r="B17" s="95"/>
      <c r="E17" s="27"/>
    </row>
    <row r="18" ht="14.25" customHeight="1">
      <c r="B18" s="95"/>
      <c r="E18" s="27"/>
    </row>
    <row r="19" ht="14.25" customHeight="1">
      <c r="B19" s="95"/>
      <c r="E19" s="27"/>
    </row>
    <row r="20" ht="14.25" customHeight="1"/>
    <row r="21" ht="14.25" customHeight="1"/>
    <row r="22" ht="14.25" customHeight="1"/>
    <row r="23" ht="14.25" customHeight="1"/>
    <row r="24" ht="14.25" customHeight="1">
      <c r="B24" s="118" t="s">
        <v>114</v>
      </c>
      <c r="C24" s="28" t="s">
        <v>127</v>
      </c>
      <c r="D24" s="28" t="s">
        <v>116</v>
      </c>
      <c r="E24" s="40" t="s">
        <v>117</v>
      </c>
      <c r="F24" s="40" t="s">
        <v>118</v>
      </c>
    </row>
    <row r="25" ht="14.25" customHeight="1">
      <c r="B25" s="119" t="s">
        <v>128</v>
      </c>
      <c r="C25" s="120" t="s">
        <v>129</v>
      </c>
      <c r="D25" s="119">
        <v>1.15E7</v>
      </c>
      <c r="E25" s="119">
        <v>1.15E7</v>
      </c>
      <c r="F25" s="119" t="s">
        <v>101</v>
      </c>
    </row>
    <row r="26" ht="14.25" customHeight="1">
      <c r="B26" s="98" t="s">
        <v>130</v>
      </c>
      <c r="C26" s="99" t="s">
        <v>129</v>
      </c>
      <c r="D26" s="100">
        <v>400000.0</v>
      </c>
      <c r="E26" s="100">
        <v>400000.0</v>
      </c>
      <c r="F26" s="100" t="s">
        <v>101</v>
      </c>
    </row>
    <row r="27" ht="15.75" customHeight="1">
      <c r="B27" s="98" t="s">
        <v>131</v>
      </c>
      <c r="C27" s="99" t="s">
        <v>129</v>
      </c>
      <c r="D27" s="100">
        <v>1200000.0</v>
      </c>
      <c r="E27" s="100">
        <v>1200000.0</v>
      </c>
      <c r="F27" s="100" t="s">
        <v>101</v>
      </c>
    </row>
    <row r="28" ht="24.0" customHeight="1">
      <c r="B28" s="121" t="s">
        <v>132</v>
      </c>
      <c r="C28" s="122" t="s">
        <v>129</v>
      </c>
      <c r="D28" s="123">
        <v>500000.0</v>
      </c>
      <c r="E28" s="123">
        <v>500000.0</v>
      </c>
      <c r="F28" s="123" t="s">
        <v>101</v>
      </c>
    </row>
    <row r="29" ht="15.75" customHeight="1">
      <c r="B29" s="124" t="s">
        <v>133</v>
      </c>
      <c r="C29" s="125" t="s">
        <v>129</v>
      </c>
      <c r="D29" s="126">
        <v>400000.0</v>
      </c>
      <c r="E29" s="127">
        <v>400000.0</v>
      </c>
      <c r="F29" s="128" t="s">
        <v>101</v>
      </c>
    </row>
    <row r="30" ht="15.75" customHeight="1">
      <c r="B30" s="129" t="s">
        <v>134</v>
      </c>
      <c r="C30" s="116"/>
      <c r="D30" s="130">
        <v>4181000.0</v>
      </c>
      <c r="E30" s="129">
        <v>4181000.0</v>
      </c>
      <c r="F30" s="116"/>
    </row>
    <row r="31" ht="15.75" customHeight="1">
      <c r="B31" s="118" t="s">
        <v>135</v>
      </c>
      <c r="C31" s="28" t="s">
        <v>136</v>
      </c>
      <c r="D31" s="28">
        <v>2.02E7</v>
      </c>
      <c r="E31" s="40">
        <v>2.02E7</v>
      </c>
      <c r="F31" s="28" t="s">
        <v>101</v>
      </c>
    </row>
    <row r="32" ht="15.75" customHeight="1">
      <c r="B32" s="118" t="s">
        <v>137</v>
      </c>
      <c r="C32" s="28" t="s">
        <v>138</v>
      </c>
      <c r="D32" s="28">
        <v>5000000.0</v>
      </c>
      <c r="E32" s="40">
        <v>5000000.0</v>
      </c>
      <c r="F32" s="28" t="s">
        <v>101</v>
      </c>
    </row>
    <row r="33" ht="15.75" customHeight="1">
      <c r="B33" s="95"/>
      <c r="E33" s="27"/>
    </row>
    <row r="34" ht="15.75" customHeight="1">
      <c r="B34" s="28" t="s">
        <v>139</v>
      </c>
      <c r="D34" s="28">
        <v>4.3381E7</v>
      </c>
      <c r="E34" s="28">
        <v>4.3381E7</v>
      </c>
      <c r="F34" s="28" t="s">
        <v>101</v>
      </c>
    </row>
    <row r="35" ht="15.75" customHeight="1"/>
    <row r="36" ht="15.75" customHeight="1">
      <c r="B36" s="28" t="s">
        <v>140</v>
      </c>
    </row>
    <row r="37" ht="15.75" customHeight="1">
      <c r="B37" s="28" t="s">
        <v>141</v>
      </c>
      <c r="C37" s="28" t="s">
        <v>142</v>
      </c>
      <c r="D37" s="28">
        <v>500000.0</v>
      </c>
      <c r="E37" s="28">
        <v>500000.0</v>
      </c>
      <c r="F37" s="28" t="s">
        <v>101</v>
      </c>
    </row>
    <row r="38" ht="14.25" customHeight="1">
      <c r="B38" s="28" t="s">
        <v>143</v>
      </c>
      <c r="C38" s="28" t="s">
        <v>142</v>
      </c>
      <c r="D38" s="28">
        <v>100000.0</v>
      </c>
      <c r="E38" s="28">
        <v>100000.0</v>
      </c>
      <c r="F38" s="28" t="s">
        <v>101</v>
      </c>
    </row>
    <row r="39" ht="14.25" customHeight="1">
      <c r="B39" s="28" t="s">
        <v>144</v>
      </c>
      <c r="C39" s="28" t="s">
        <v>142</v>
      </c>
      <c r="D39" s="28">
        <v>3000000.0</v>
      </c>
      <c r="E39" s="28">
        <v>3000000.0</v>
      </c>
      <c r="F39" s="28" t="s">
        <v>101</v>
      </c>
    </row>
    <row r="40" ht="14.25" customHeight="1">
      <c r="B40" s="28" t="s">
        <v>145</v>
      </c>
      <c r="C40" s="28" t="s">
        <v>142</v>
      </c>
      <c r="D40" s="28">
        <v>1200000.0</v>
      </c>
      <c r="E40" s="28">
        <v>1200000.0</v>
      </c>
      <c r="F40" s="28" t="s">
        <v>101</v>
      </c>
    </row>
    <row r="41" ht="14.25" customHeight="1">
      <c r="B41" s="28" t="s">
        <v>146</v>
      </c>
      <c r="C41" s="28" t="s">
        <v>142</v>
      </c>
      <c r="D41" s="28">
        <v>1500000.0</v>
      </c>
      <c r="E41" s="28">
        <v>1500000.0</v>
      </c>
      <c r="F41" s="28" t="s">
        <v>101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6:C16"/>
    <mergeCell ref="E16:F16"/>
    <mergeCell ref="B30:C30"/>
    <mergeCell ref="E30:F30"/>
  </mergeCells>
  <printOptions/>
  <pageMargins bottom="0.7480314960629921" footer="0.0" header="0.0" left="0.7086614173228347" right="0.3937007874015748" top="0.6299212598425197"/>
  <pageSetup paperSize="9" scale="64" orientation="portrait"/>
  <headerFooter>
    <oddHeader>&amp;LRAPPORT FINANCIER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43"/>
    <col customWidth="1" min="2" max="2" width="46.0"/>
    <col customWidth="1" min="3" max="26" width="29.86"/>
  </cols>
  <sheetData>
    <row r="1" ht="14.25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4.2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4.2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14.2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14.25" customHeight="1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14.25" customHeight="1">
      <c r="A6" s="131"/>
      <c r="B6" s="131"/>
      <c r="C6" s="132" t="s">
        <v>147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4.25" customHeight="1">
      <c r="A7" s="131"/>
      <c r="B7" s="133"/>
      <c r="C7" s="134" t="s">
        <v>17</v>
      </c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14.25" customHeight="1">
      <c r="A8" s="131"/>
      <c r="B8" s="133"/>
      <c r="C8" s="133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14.25" customHeight="1">
      <c r="A9" s="131"/>
      <c r="B9" s="131"/>
      <c r="C9" s="131"/>
      <c r="D9" s="131"/>
      <c r="E9" s="131"/>
      <c r="F9" s="131"/>
      <c r="G9" s="131"/>
      <c r="H9" s="131"/>
      <c r="I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4.25" customHeight="1">
      <c r="A10" s="132" t="s">
        <v>148</v>
      </c>
      <c r="B10" s="132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4.25" customHeight="1">
      <c r="A11" s="132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ht="14.25" customHeight="1">
      <c r="A12" s="132" t="s">
        <v>149</v>
      </c>
      <c r="B12" s="132" t="s">
        <v>150</v>
      </c>
      <c r="C12" s="132" t="s">
        <v>151</v>
      </c>
      <c r="D12" s="132" t="s">
        <v>32</v>
      </c>
      <c r="E12" s="132" t="s">
        <v>152</v>
      </c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ht="14.25" customHeight="1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ht="14.25" customHeight="1">
      <c r="A14" s="132">
        <v>1.0</v>
      </c>
      <c r="B14" s="132" t="s">
        <v>153</v>
      </c>
      <c r="C14" s="132" t="s">
        <v>154</v>
      </c>
      <c r="D14" s="132">
        <v>6000000.0</v>
      </c>
      <c r="E14" s="132" t="s">
        <v>155</v>
      </c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ht="14.25" customHeight="1">
      <c r="A15" s="132">
        <v>2.0</v>
      </c>
      <c r="B15" s="132" t="s">
        <v>153</v>
      </c>
      <c r="C15" s="132" t="s">
        <v>156</v>
      </c>
      <c r="D15" s="132">
        <v>2100000.0</v>
      </c>
      <c r="E15" s="132" t="s">
        <v>155</v>
      </c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4.25" customHeight="1">
      <c r="A16" s="132">
        <v>3.0</v>
      </c>
      <c r="B16" s="132" t="s">
        <v>153</v>
      </c>
      <c r="C16" s="132" t="s">
        <v>157</v>
      </c>
      <c r="D16" s="132">
        <v>400000.0</v>
      </c>
      <c r="E16" s="132" t="s">
        <v>155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14.25" customHeight="1">
      <c r="A17" s="132">
        <v>4.0</v>
      </c>
      <c r="B17" s="132" t="s">
        <v>153</v>
      </c>
      <c r="C17" s="132" t="s">
        <v>158</v>
      </c>
      <c r="D17" s="132">
        <v>3600000.0</v>
      </c>
      <c r="E17" s="132" t="s">
        <v>155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4.25" customHeight="1">
      <c r="A18" s="132">
        <v>5.0</v>
      </c>
      <c r="B18" s="132" t="s">
        <v>153</v>
      </c>
      <c r="C18" s="132" t="s">
        <v>159</v>
      </c>
      <c r="D18" s="132">
        <v>4400000.0</v>
      </c>
      <c r="E18" s="132" t="s">
        <v>155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14.25" customHeight="1">
      <c r="A19" s="132">
        <v>6.0</v>
      </c>
      <c r="B19" s="132" t="s">
        <v>153</v>
      </c>
      <c r="C19" s="132" t="s">
        <v>160</v>
      </c>
      <c r="D19" s="132">
        <v>4000000.0</v>
      </c>
      <c r="E19" s="132" t="s">
        <v>155</v>
      </c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4.25" customHeight="1">
      <c r="A20" s="132">
        <v>7.0</v>
      </c>
      <c r="B20" s="132" t="s">
        <v>153</v>
      </c>
      <c r="C20" s="132" t="s">
        <v>161</v>
      </c>
      <c r="D20" s="132">
        <v>3000000.0</v>
      </c>
      <c r="E20" s="132" t="s">
        <v>155</v>
      </c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ht="14.25" customHeight="1">
      <c r="A21" s="132">
        <v>8.0</v>
      </c>
      <c r="B21" s="132" t="s">
        <v>153</v>
      </c>
      <c r="C21" s="132" t="s">
        <v>162</v>
      </c>
      <c r="D21" s="132">
        <v>5000000.0</v>
      </c>
      <c r="E21" s="132" t="s">
        <v>155</v>
      </c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ht="14.25" customHeight="1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ht="14.25" customHeight="1">
      <c r="A23" s="132">
        <v>9.0</v>
      </c>
      <c r="B23" s="132" t="s">
        <v>163</v>
      </c>
      <c r="C23" s="132" t="s">
        <v>164</v>
      </c>
      <c r="D23" s="132">
        <v>2500000.0</v>
      </c>
      <c r="E23" s="132" t="s">
        <v>165</v>
      </c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ht="14.25" customHeight="1">
      <c r="A24" s="132">
        <v>10.0</v>
      </c>
      <c r="B24" s="132" t="s">
        <v>166</v>
      </c>
      <c r="C24" s="132" t="s">
        <v>167</v>
      </c>
      <c r="D24" s="132">
        <v>3600000.0</v>
      </c>
      <c r="E24" s="132" t="s">
        <v>168</v>
      </c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4.25" customHeight="1">
      <c r="A25" s="132">
        <v>11.0</v>
      </c>
      <c r="B25" s="132" t="s">
        <v>169</v>
      </c>
      <c r="C25" s="132" t="s">
        <v>170</v>
      </c>
      <c r="D25" s="132" t="s">
        <v>171</v>
      </c>
      <c r="E25" s="132" t="s">
        <v>172</v>
      </c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14.25" customHeight="1">
      <c r="A26" s="132">
        <v>12.0</v>
      </c>
      <c r="B26" s="132" t="s">
        <v>173</v>
      </c>
      <c r="C26" s="132" t="s">
        <v>174</v>
      </c>
      <c r="D26" s="132">
        <v>3000000.0</v>
      </c>
      <c r="E26" s="132" t="s">
        <v>175</v>
      </c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ht="14.25" customHeight="1">
      <c r="A27" s="132">
        <v>13.0</v>
      </c>
      <c r="B27" s="132" t="s">
        <v>176</v>
      </c>
      <c r="C27" s="132" t="s">
        <v>177</v>
      </c>
      <c r="D27" s="132" t="s">
        <v>178</v>
      </c>
      <c r="E27" s="132" t="s">
        <v>179</v>
      </c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14.25" customHeight="1">
      <c r="A28" s="132">
        <v>14.0</v>
      </c>
      <c r="B28" s="132" t="s">
        <v>180</v>
      </c>
      <c r="C28" s="132" t="s">
        <v>181</v>
      </c>
      <c r="D28" s="132">
        <v>8400000.0</v>
      </c>
      <c r="E28" s="132" t="s">
        <v>182</v>
      </c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ht="14.25" customHeight="1">
      <c r="A29" s="132">
        <v>15.0</v>
      </c>
      <c r="B29" s="132" t="s">
        <v>183</v>
      </c>
      <c r="C29" s="132" t="s">
        <v>184</v>
      </c>
      <c r="D29" s="132" t="s">
        <v>171</v>
      </c>
      <c r="E29" s="132" t="s">
        <v>185</v>
      </c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ht="14.25" customHeight="1">
      <c r="A30" s="132">
        <v>16.0</v>
      </c>
      <c r="B30" s="132" t="s">
        <v>186</v>
      </c>
      <c r="C30" s="132" t="s">
        <v>187</v>
      </c>
      <c r="D30" s="132" t="s">
        <v>171</v>
      </c>
      <c r="E30" s="132" t="s">
        <v>188</v>
      </c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ht="14.25" customHeight="1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4.25" customHeight="1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4.25" customHeight="1">
      <c r="A33" s="132" t="s">
        <v>189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4.25" customHeight="1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4.25" customHeight="1">
      <c r="A35" s="132" t="s">
        <v>149</v>
      </c>
      <c r="B35" s="132" t="s">
        <v>190</v>
      </c>
      <c r="C35" s="132" t="s">
        <v>191</v>
      </c>
      <c r="D35" s="132" t="s">
        <v>192</v>
      </c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4.25" customHeight="1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4.25" customHeight="1">
      <c r="A37" s="132">
        <v>1.0</v>
      </c>
      <c r="B37" s="132" t="s">
        <v>193</v>
      </c>
      <c r="C37" s="132" t="s">
        <v>194</v>
      </c>
      <c r="D37" s="135" t="s">
        <v>195</v>
      </c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4.25" customHeight="1">
      <c r="A38" s="132">
        <v>2.0</v>
      </c>
      <c r="B38" s="132" t="s">
        <v>196</v>
      </c>
      <c r="C38" s="132" t="s">
        <v>197</v>
      </c>
      <c r="D38" s="135" t="s">
        <v>198</v>
      </c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ht="14.25" customHeight="1">
      <c r="A39" s="132">
        <v>3.0</v>
      </c>
      <c r="B39" s="132" t="s">
        <v>199</v>
      </c>
      <c r="C39" s="132" t="s">
        <v>200</v>
      </c>
      <c r="D39" s="135" t="s">
        <v>201</v>
      </c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ht="14.25" customHeight="1">
      <c r="A40" s="132">
        <v>4.0</v>
      </c>
      <c r="B40" s="132" t="s">
        <v>202</v>
      </c>
      <c r="C40" s="132" t="s">
        <v>203</v>
      </c>
      <c r="D40" s="132" t="s">
        <v>204</v>
      </c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ht="14.25" customHeight="1">
      <c r="A41" s="132">
        <v>5.0</v>
      </c>
      <c r="B41" s="132" t="s">
        <v>205</v>
      </c>
      <c r="C41" s="132" t="s">
        <v>206</v>
      </c>
      <c r="D41" s="132" t="s">
        <v>207</v>
      </c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ht="14.2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ht="14.25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ht="14.25" customHeight="1">
      <c r="A44" s="132" t="s">
        <v>208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ht="14.25" customHeight="1">
      <c r="A45" s="135" t="s">
        <v>93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ht="14.25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ht="14.25" customHeight="1">
      <c r="A47" s="132" t="s">
        <v>209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ht="14.25" customHeight="1">
      <c r="A48" s="132" t="s">
        <v>210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ht="14.25" customHeight="1">
      <c r="A49" s="132" t="s">
        <v>211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ht="14.25" customHeight="1">
      <c r="A50" s="132" t="s">
        <v>212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ht="14.25" customHeight="1">
      <c r="A51" s="132" t="s">
        <v>213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ht="14.25" customHeight="1">
      <c r="A52" s="132" t="s">
        <v>214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ht="14.25" customHeight="1">
      <c r="A53" s="132" t="s">
        <v>215</v>
      </c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ht="14.25" customHeight="1">
      <c r="A54" s="132" t="s">
        <v>216</v>
      </c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ht="14.25" customHeight="1">
      <c r="A55" s="132" t="s">
        <v>217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ht="14.25" customHeight="1">
      <c r="A56" s="132" t="s">
        <v>218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ht="14.2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ht="14.2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ht="14.25" customHeight="1">
      <c r="A59" s="132" t="s">
        <v>219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ht="14.25" customHeight="1">
      <c r="A60" s="132" t="s">
        <v>220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ht="14.25" customHeight="1">
      <c r="A61" s="132" t="s">
        <v>221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ht="14.25" customHeight="1">
      <c r="A62" s="132" t="s">
        <v>222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ht="14.25" customHeight="1">
      <c r="A63" s="132" t="s">
        <v>223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ht="14.25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ht="14.25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ht="14.25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4.2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4.25" customHeight="1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14.25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4.25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ht="14.25" customHeight="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ht="14.2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ht="14.2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4.25" customHeight="1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ht="14.25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ht="14.25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ht="14.25" customHeight="1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ht="14.25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ht="14.25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ht="14.25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ht="14.2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ht="14.2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ht="14.25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ht="14.25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ht="14.25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4.25" customHeight="1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4.2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ht="14.25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ht="14.25" customHeight="1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ht="14.2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ht="14.2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ht="14.2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ht="14.2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ht="14.2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ht="14.25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ht="14.2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ht="14.2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ht="14.25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ht="14.2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ht="14.2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ht="14.2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ht="14.2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ht="14.2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ht="14.25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ht="14.2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ht="14.2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ht="14.25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ht="14.2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ht="14.2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ht="14.25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ht="14.2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ht="14.2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ht="14.25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ht="14.2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ht="14.2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ht="14.25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ht="14.2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ht="14.2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ht="14.25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ht="14.2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ht="14.2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ht="14.25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ht="14.2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ht="14.2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ht="14.25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ht="14.2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ht="14.2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ht="14.25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ht="14.2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ht="14.2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14.25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ht="14.2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ht="14.2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ht="14.25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ht="14.2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14.2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14.25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14.2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ht="14.2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14.25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14.2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14.2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ht="14.25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ht="14.2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ht="14.2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ht="14.2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ht="14.2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ht="14.2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ht="14.2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ht="14.2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ht="14.2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ht="14.2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ht="14.2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14.2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ht="14.2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14.2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14.2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14.2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ht="14.2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ht="14.2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ht="14.2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ht="14.2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ht="14.2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ht="14.2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ht="14.2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ht="14.2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ht="14.2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ht="14.2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ht="14.2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ht="14.2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ht="14.2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ht="14.2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ht="14.2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ht="14.2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ht="14.2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ht="14.2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ht="14.2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ht="14.2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ht="14.2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ht="14.2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ht="14.2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ht="14.2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ht="14.2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ht="14.2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ht="14.2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ht="14.2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ht="14.2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ht="14.2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ht="14.2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ht="14.2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ht="14.2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ht="14.2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ht="14.2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ht="14.2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ht="14.2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ht="14.2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ht="14.2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ht="14.2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ht="14.2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ht="14.2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ht="14.2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ht="14.2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ht="14.2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ht="14.2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ht="14.2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ht="14.2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ht="14.2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ht="14.2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ht="14.2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ht="14.2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ht="14.2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ht="14.2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ht="14.2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ht="14.2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ht="14.2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ht="14.2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ht="14.2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ht="14.2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ht="14.2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ht="14.2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ht="14.2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ht="14.2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ht="14.2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ht="14.2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ht="14.2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ht="14.2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ht="14.2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ht="14.2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ht="14.2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ht="14.2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ht="14.2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ht="14.2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ht="14.2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ht="14.2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ht="14.2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ht="14.2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ht="14.2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ht="14.2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ht="14.2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ht="14.2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ht="14.2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ht="14.2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ht="14.2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ht="14.2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ht="14.2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ht="14.2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ht="14.2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ht="14.2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ht="14.2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ht="14.2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ht="14.2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ht="14.2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ht="14.2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ht="14.2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ht="14.2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ht="14.2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ht="14.2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ht="14.2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ht="14.2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ht="14.2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ht="14.2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ht="14.2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ht="14.2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ht="14.2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ht="14.2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ht="14.2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ht="14.2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ht="14.2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ht="14.2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ht="14.2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ht="14.2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ht="14.2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ht="14.2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ht="14.2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ht="14.2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ht="14.2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ht="14.2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ht="14.2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ht="14.2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ht="14.2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ht="14.2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ht="14.2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14.2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ht="14.2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ht="14.2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ht="14.2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ht="14.2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ht="14.2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ht="14.2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ht="14.2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ht="14.2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ht="14.2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ht="14.2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ht="14.2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ht="14.2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ht="14.2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ht="14.2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ht="14.2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ht="14.2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ht="14.2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ht="14.2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ht="14.2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ht="14.2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ht="14.2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ht="14.2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ht="14.2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ht="14.2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ht="14.2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ht="14.2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ht="14.2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ht="14.2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ht="14.2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ht="14.2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ht="14.2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ht="14.2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ht="14.2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ht="14.2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ht="14.2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ht="14.2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ht="14.2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ht="14.2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ht="14.2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ht="14.2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ht="14.2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ht="14.2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ht="14.2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ht="14.2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ht="14.2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ht="14.2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ht="14.2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ht="14.2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ht="14.2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ht="14.2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ht="14.2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ht="14.2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ht="14.2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ht="14.2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ht="14.2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ht="14.2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ht="14.2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ht="14.2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ht="14.2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ht="14.2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ht="14.2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ht="14.2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ht="14.2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ht="14.2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ht="14.2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ht="14.2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ht="14.2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ht="14.2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ht="14.2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ht="14.2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ht="14.2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ht="14.2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ht="14.2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ht="14.2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ht="14.2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ht="14.2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ht="14.2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ht="14.2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ht="14.2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ht="14.2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ht="14.2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ht="14.2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ht="14.2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ht="14.2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ht="14.2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ht="14.2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ht="14.2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ht="14.2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ht="14.2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ht="14.2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ht="14.2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ht="14.2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ht="14.2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ht="14.2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ht="14.2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ht="14.2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ht="14.2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ht="14.2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ht="14.2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ht="14.2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ht="14.2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ht="14.2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ht="14.2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ht="14.2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ht="14.2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ht="14.2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ht="14.2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ht="14.2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ht="14.2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ht="14.2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ht="14.2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ht="14.2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ht="14.2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ht="14.2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ht="14.2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ht="14.2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ht="14.2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ht="14.2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ht="14.2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ht="14.2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ht="14.2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ht="14.2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ht="14.2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ht="14.2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ht="14.2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ht="14.2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ht="14.2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ht="14.2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ht="14.2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ht="14.2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ht="14.2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ht="14.2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ht="14.2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ht="14.2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ht="14.2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ht="14.2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ht="14.2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ht="14.2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ht="14.2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ht="14.2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ht="14.2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ht="14.2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ht="14.2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ht="14.2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ht="14.2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ht="14.2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ht="14.2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ht="14.2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ht="14.2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ht="14.2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ht="14.2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ht="14.2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ht="14.2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ht="14.2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ht="14.2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ht="14.2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ht="14.2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ht="14.2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ht="14.2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ht="14.2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ht="14.2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ht="14.2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ht="14.2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ht="14.2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ht="14.2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ht="14.2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ht="14.2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ht="14.2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ht="14.2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ht="14.2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ht="14.2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ht="14.2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ht="14.2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ht="14.2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ht="14.2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ht="14.2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ht="14.2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ht="14.2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ht="14.2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ht="14.2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ht="14.2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ht="14.2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ht="14.2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ht="14.2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ht="14.2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ht="14.2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ht="14.2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ht="14.2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ht="14.2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ht="14.2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ht="14.2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ht="14.2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ht="14.2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ht="14.2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ht="14.2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ht="14.2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ht="14.2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ht="14.2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ht="14.2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ht="14.2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ht="14.2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ht="14.2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ht="14.2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ht="14.2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ht="14.2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ht="14.2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ht="14.2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ht="14.2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ht="14.2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ht="14.2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ht="14.2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ht="14.2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ht="14.2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ht="14.2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ht="14.2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ht="14.2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ht="14.2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ht="14.2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ht="14.2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ht="14.2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ht="14.2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ht="14.2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ht="14.2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ht="14.2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ht="14.2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ht="14.2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ht="14.2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ht="14.2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ht="14.2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ht="14.2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ht="14.2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ht="14.2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ht="14.2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ht="14.2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ht="14.2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ht="14.2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ht="14.2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ht="14.2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ht="14.2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ht="14.2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ht="14.2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ht="14.2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ht="14.2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ht="14.2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ht="14.2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ht="14.2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ht="14.2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ht="14.2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ht="14.2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ht="14.2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ht="14.2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ht="14.2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ht="14.2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ht="14.2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ht="14.2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ht="14.2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ht="14.2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ht="14.2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ht="14.2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ht="14.2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ht="14.2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ht="14.2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ht="14.2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ht="14.2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ht="14.2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ht="14.2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ht="14.2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ht="14.2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ht="14.2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ht="14.2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ht="14.2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ht="14.2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ht="14.2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ht="14.2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ht="14.2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ht="14.2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ht="14.2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ht="14.2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ht="14.2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ht="14.2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ht="14.2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ht="14.2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ht="14.2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ht="14.2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ht="14.2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ht="14.2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ht="14.2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ht="14.2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ht="14.2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ht="14.2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ht="14.2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ht="14.2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ht="14.2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ht="14.2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ht="14.2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ht="14.2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ht="14.2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ht="14.2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ht="14.2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ht="14.2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ht="14.2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ht="14.2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ht="14.2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ht="14.2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ht="14.2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ht="14.2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ht="14.2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ht="14.2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ht="14.2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ht="14.2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ht="14.2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ht="14.2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ht="14.2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ht="14.2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ht="14.2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ht="14.2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ht="14.2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ht="14.2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ht="14.2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ht="14.2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ht="14.2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ht="14.2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ht="14.2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ht="14.2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ht="14.2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ht="14.2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ht="14.2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ht="14.2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ht="14.2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ht="14.2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ht="14.2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ht="14.2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ht="14.2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ht="14.2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ht="14.2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ht="14.2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ht="14.2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ht="14.2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ht="14.2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ht="14.2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ht="14.2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ht="14.2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ht="14.2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ht="14.2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ht="14.2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ht="14.2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ht="14.2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ht="14.2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ht="14.2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ht="14.2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ht="14.2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ht="14.2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ht="14.2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ht="14.2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ht="14.2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ht="14.2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ht="14.2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ht="14.2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ht="14.2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ht="14.2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ht="14.2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ht="14.2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ht="14.2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ht="14.2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ht="14.2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ht="14.2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ht="14.2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ht="14.2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ht="14.2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ht="14.2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ht="14.2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ht="14.2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ht="14.2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ht="14.2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ht="14.2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ht="14.2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ht="14.2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ht="14.2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ht="14.2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ht="14.2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ht="14.2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ht="14.2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ht="14.2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ht="14.2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ht="14.2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ht="14.2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ht="14.2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ht="14.2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ht="14.2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ht="14.2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ht="14.2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ht="14.2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ht="14.2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ht="14.2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ht="14.2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ht="14.2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ht="14.2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ht="14.2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ht="14.2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ht="14.2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ht="14.2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ht="14.2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ht="14.2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ht="14.2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ht="14.2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ht="14.2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ht="14.2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ht="14.2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ht="14.2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ht="14.2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ht="14.2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ht="14.2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ht="14.2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ht="14.2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ht="14.2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ht="14.2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ht="14.2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ht="14.2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ht="14.2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ht="14.2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ht="14.2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ht="14.2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ht="14.2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ht="14.2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ht="14.2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ht="14.2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ht="14.2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ht="14.2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ht="14.2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ht="14.2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ht="14.2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ht="14.2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ht="14.2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ht="14.2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ht="14.2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ht="14.2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ht="14.2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ht="14.2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ht="14.2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ht="14.2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ht="14.2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ht="14.2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ht="14.2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ht="14.2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ht="14.2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ht="14.2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ht="14.2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ht="14.2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ht="14.2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ht="14.2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ht="14.2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ht="14.2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ht="14.2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ht="14.2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ht="14.2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ht="14.2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ht="14.2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ht="14.2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ht="14.2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ht="14.2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ht="14.2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ht="14.2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ht="14.2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ht="14.2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ht="14.2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ht="14.2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ht="14.2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ht="14.2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ht="14.2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ht="14.2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ht="14.2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ht="14.2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ht="14.2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ht="14.2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ht="14.2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ht="14.2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ht="14.2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ht="14.2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ht="14.2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ht="14.2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ht="14.2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ht="14.2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ht="14.2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ht="14.2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ht="14.2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ht="14.2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ht="14.2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ht="14.2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ht="14.2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ht="14.2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ht="14.2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ht="14.2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ht="14.2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ht="14.2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ht="14.2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ht="14.2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ht="14.2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ht="14.2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ht="14.2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ht="14.2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ht="14.2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ht="14.2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ht="14.2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ht="14.2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ht="14.2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ht="14.2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ht="14.2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ht="14.2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ht="14.2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ht="14.2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ht="14.2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ht="14.2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ht="14.2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ht="14.2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ht="14.2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ht="14.2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ht="14.2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ht="14.2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ht="14.2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ht="14.2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ht="14.2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ht="14.2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ht="14.2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ht="14.2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ht="14.2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ht="14.2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ht="14.2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ht="14.2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ht="14.2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ht="14.2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ht="14.2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ht="14.2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ht="14.2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ht="14.2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ht="14.2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ht="14.2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ht="14.2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ht="14.2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ht="14.2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ht="14.2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ht="14.2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ht="14.2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ht="14.2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ht="14.2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ht="14.2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ht="14.2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ht="14.2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ht="14.2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ht="14.2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ht="14.2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ht="14.2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ht="14.2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ht="14.2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ht="14.2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ht="14.2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ht="14.2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ht="14.2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ht="14.2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ht="14.2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ht="14.2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ht="14.2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ht="14.2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ht="14.2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ht="14.2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ht="14.2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ht="14.2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ht="14.2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ht="14.2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ht="14.2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ht="14.2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ht="14.2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ht="14.2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ht="14.2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ht="14.2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ht="14.2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ht="14.2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ht="14.2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ht="14.2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ht="14.2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ht="14.2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ht="14.2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ht="14.2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ht="14.2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ht="14.2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ht="14.2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ht="14.2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ht="14.2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ht="14.2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ht="14.2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ht="14.2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ht="14.2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ht="14.2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ht="14.2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ht="14.2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ht="14.2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ht="14.2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ht="14.2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ht="14.2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ht="14.2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ht="14.2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ht="14.2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ht="14.2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ht="14.2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ht="14.2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ht="14.2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ht="14.2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ht="14.2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ht="14.2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ht="14.2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ht="14.2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ht="14.2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ht="14.2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ht="14.2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ht="14.2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ht="14.2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ht="14.2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ht="14.2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ht="14.2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ht="14.2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ht="14.2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ht="14.2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ht="14.2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ht="14.2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ht="14.2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ht="14.2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ht="14.2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ht="14.2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ht="14.2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ht="14.2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ht="14.2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ht="14.2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ht="14.2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ht="14.2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ht="14.2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ht="14.2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ht="14.2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ht="14.2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ht="14.2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ht="14.2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ht="14.2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ht="14.2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ht="14.2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ht="14.2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ht="14.2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ht="14.2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ht="14.2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ht="14.2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ht="14.2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ht="14.2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ht="14.2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ht="14.2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ht="14.2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ht="14.2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ht="14.2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ht="14.2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ht="14.2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ht="14.2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ht="14.2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ht="14.2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ht="14.2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ht="14.2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ht="14.2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ht="14.2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ht="14.2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ht="14.2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ht="14.2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ht="14.2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ht="14.2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ht="14.2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ht="14.2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ht="14.2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ht="14.2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ht="14.2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ht="14.2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ht="14.2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ht="14.2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ht="14.2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ht="14.2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ht="14.2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ht="14.2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ht="14.2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ht="14.2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ht="14.2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ht="14.2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ht="14.2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ht="14.2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ht="14.2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ht="14.2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ht="14.2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ht="14.2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ht="14.2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ht="14.2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ht="14.2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ht="14.2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ht="14.2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ht="14.2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ht="14.2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ht="14.2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ht="14.2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ht="14.2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ht="14.2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ht="14.2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ht="14.2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ht="14.2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ht="14.2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ht="14.2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ht="14.2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ht="14.2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ht="14.2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ht="14.2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ht="14.2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ht="14.2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ht="14.2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ht="14.2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ht="14.2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ht="14.2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</sheetData>
  <hyperlinks>
    <hyperlink r:id="rId1" ref="D37"/>
    <hyperlink r:id="rId2" ref="D38"/>
    <hyperlink r:id="rId3" ref="D39"/>
    <hyperlink r:id="rId4" ref="A45"/>
  </hyperlinks>
  <printOptions/>
  <pageMargins bottom="0.7480314960629921" footer="0.0" header="0.0" left="0.7086614173228347" right="0.7086614173228347" top="0.7480314960629921"/>
  <pageSetup paperSize="9" orientation="portrait"/>
  <headerFooter>
    <oddHeader>&amp;LRAPPORT FINANCIER</oddHeader>
  </headerFooter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7.43"/>
    <col customWidth="1" min="3" max="3" width="11.57"/>
    <col customWidth="1" min="4" max="4" width="14.71"/>
    <col customWidth="1" min="5" max="5" width="15.57"/>
    <col customWidth="1" min="6" max="6" width="17.57"/>
    <col customWidth="1" min="7" max="7" width="15.71"/>
    <col customWidth="1" min="8" max="8" width="19.29"/>
    <col customWidth="1" min="9" max="18" width="11.57"/>
  </cols>
  <sheetData>
    <row r="1" ht="13.5" customHeight="1">
      <c r="A1" s="136" t="s">
        <v>224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</row>
    <row r="2" ht="13.5" customHeight="1">
      <c r="A2" s="137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ht="13.5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</row>
    <row r="4" ht="13.5" customHeight="1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</row>
    <row r="5" ht="13.5" customHeight="1">
      <c r="A5" s="136" t="s">
        <v>225</v>
      </c>
      <c r="B5" s="136"/>
      <c r="C5" s="140"/>
      <c r="D5" s="141"/>
      <c r="E5" s="140"/>
      <c r="F5" s="140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</row>
    <row r="6" ht="13.5" customHeight="1">
      <c r="A6" s="143" t="s">
        <v>226</v>
      </c>
      <c r="B6" s="144" t="s">
        <v>227</v>
      </c>
      <c r="C6" s="145" t="s">
        <v>115</v>
      </c>
      <c r="D6" s="144" t="s">
        <v>228</v>
      </c>
      <c r="E6" s="144" t="s">
        <v>229</v>
      </c>
      <c r="F6" s="144" t="s">
        <v>230</v>
      </c>
      <c r="G6" s="144" t="s">
        <v>231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</row>
    <row r="7" ht="13.5" customHeight="1">
      <c r="A7" s="143"/>
      <c r="B7" s="147" t="s">
        <v>232</v>
      </c>
      <c r="C7" s="143"/>
      <c r="D7" s="144"/>
      <c r="E7" s="144"/>
      <c r="F7" s="148">
        <v>300000.0</v>
      </c>
      <c r="G7" s="144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ht="13.5" customHeight="1">
      <c r="A8" s="149">
        <v>45509.0</v>
      </c>
      <c r="B8" s="150" t="s">
        <v>233</v>
      </c>
      <c r="C8" s="144"/>
      <c r="D8" s="151">
        <v>300000.0</v>
      </c>
      <c r="E8" s="152"/>
      <c r="F8" s="153"/>
      <c r="G8" s="152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</row>
    <row r="9" ht="13.5" customHeight="1">
      <c r="A9" s="149">
        <v>45616.0</v>
      </c>
      <c r="B9" s="150" t="s">
        <v>234</v>
      </c>
      <c r="C9" s="144"/>
      <c r="D9" s="151">
        <v>3.25E7</v>
      </c>
      <c r="E9" s="148"/>
      <c r="F9" s="155"/>
      <c r="G9" s="156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</row>
    <row r="10" ht="13.5" customHeight="1">
      <c r="A10" s="158">
        <v>45700.0</v>
      </c>
      <c r="B10" s="159" t="s">
        <v>235</v>
      </c>
      <c r="C10" s="144"/>
      <c r="D10" s="160"/>
      <c r="E10" s="161">
        <v>5500.0</v>
      </c>
      <c r="F10" s="155">
        <f>(D8+D9)-E9-E10</f>
        <v>32794500</v>
      </c>
      <c r="G10" s="156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</row>
    <row r="11" ht="13.5" customHeight="1">
      <c r="A11" s="162">
        <v>45700.0</v>
      </c>
      <c r="B11" s="150" t="s">
        <v>236</v>
      </c>
      <c r="C11" s="144"/>
      <c r="D11" s="152"/>
      <c r="E11" s="151">
        <v>1.1708E7</v>
      </c>
      <c r="F11" s="153">
        <f t="shared" ref="F11:F29" si="1">F10+D11-E11</f>
        <v>21086500</v>
      </c>
      <c r="G11" s="163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</row>
    <row r="12" ht="13.5" customHeight="1">
      <c r="A12" s="162">
        <v>45708.0</v>
      </c>
      <c r="B12" s="159" t="s">
        <v>235</v>
      </c>
      <c r="C12" s="144"/>
      <c r="D12" s="160"/>
      <c r="E12" s="161">
        <v>55000.0</v>
      </c>
      <c r="F12" s="155">
        <f t="shared" si="1"/>
        <v>21031500</v>
      </c>
      <c r="G12" s="156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</row>
    <row r="13" ht="13.5" customHeight="1">
      <c r="A13" s="162">
        <v>45708.0</v>
      </c>
      <c r="B13" s="164" t="s">
        <v>237</v>
      </c>
      <c r="C13" s="144"/>
      <c r="D13" s="152"/>
      <c r="E13" s="151">
        <v>2.02E7</v>
      </c>
      <c r="F13" s="153">
        <f t="shared" si="1"/>
        <v>831500</v>
      </c>
      <c r="G13" s="163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</row>
    <row r="14" ht="13.5" customHeight="1">
      <c r="A14" s="165"/>
      <c r="B14" s="165"/>
      <c r="C14" s="144"/>
      <c r="D14" s="160"/>
      <c r="E14" s="155"/>
      <c r="F14" s="155">
        <f t="shared" si="1"/>
        <v>831500</v>
      </c>
      <c r="G14" s="156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</row>
    <row r="15" ht="13.5" customHeight="1">
      <c r="A15" s="165"/>
      <c r="B15" s="165"/>
      <c r="C15" s="144"/>
      <c r="D15" s="160"/>
      <c r="E15" s="155"/>
      <c r="F15" s="155">
        <f t="shared" si="1"/>
        <v>831500</v>
      </c>
      <c r="G15" s="156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</row>
    <row r="16" ht="13.5" customHeight="1">
      <c r="A16" s="166"/>
      <c r="B16" s="160"/>
      <c r="C16" s="144"/>
      <c r="D16" s="160"/>
      <c r="E16" s="155"/>
      <c r="F16" s="155">
        <f t="shared" si="1"/>
        <v>831500</v>
      </c>
      <c r="G16" s="156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</row>
    <row r="17" ht="13.5" customHeight="1">
      <c r="A17" s="166"/>
      <c r="B17" s="143"/>
      <c r="C17" s="144"/>
      <c r="D17" s="167"/>
      <c r="E17" s="155"/>
      <c r="F17" s="155">
        <f t="shared" si="1"/>
        <v>831500</v>
      </c>
      <c r="G17" s="156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</row>
    <row r="18" ht="13.5" customHeight="1">
      <c r="A18" s="166"/>
      <c r="B18" s="160"/>
      <c r="C18" s="144"/>
      <c r="D18" s="167"/>
      <c r="E18" s="155"/>
      <c r="F18" s="155">
        <f t="shared" si="1"/>
        <v>831500</v>
      </c>
      <c r="G18" s="156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</row>
    <row r="19" ht="13.5" customHeight="1">
      <c r="A19" s="166"/>
      <c r="B19" s="143"/>
      <c r="C19" s="144"/>
      <c r="D19" s="167"/>
      <c r="E19" s="155"/>
      <c r="F19" s="155">
        <f t="shared" si="1"/>
        <v>831500</v>
      </c>
      <c r="G19" s="156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</row>
    <row r="20" ht="13.5" customHeight="1">
      <c r="A20" s="166"/>
      <c r="B20" s="160"/>
      <c r="C20" s="144"/>
      <c r="D20" s="167"/>
      <c r="E20" s="155"/>
      <c r="F20" s="155">
        <f t="shared" si="1"/>
        <v>831500</v>
      </c>
      <c r="G20" s="156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</row>
    <row r="21" ht="13.5" customHeight="1">
      <c r="A21" s="166"/>
      <c r="B21" s="160"/>
      <c r="C21" s="144"/>
      <c r="D21" s="167"/>
      <c r="E21" s="155"/>
      <c r="F21" s="155">
        <f t="shared" si="1"/>
        <v>831500</v>
      </c>
      <c r="G21" s="156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</row>
    <row r="22" ht="13.5" customHeight="1">
      <c r="A22" s="166"/>
      <c r="B22" s="143"/>
      <c r="C22" s="144"/>
      <c r="D22" s="167"/>
      <c r="E22" s="155"/>
      <c r="F22" s="155">
        <f t="shared" si="1"/>
        <v>831500</v>
      </c>
      <c r="G22" s="156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</row>
    <row r="23" ht="13.5" customHeight="1">
      <c r="A23" s="166"/>
      <c r="B23" s="160"/>
      <c r="C23" s="144"/>
      <c r="D23" s="167"/>
      <c r="E23" s="155"/>
      <c r="F23" s="155">
        <f t="shared" si="1"/>
        <v>831500</v>
      </c>
      <c r="G23" s="156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</row>
    <row r="24" ht="13.5" customHeight="1">
      <c r="A24" s="166"/>
      <c r="B24" s="143"/>
      <c r="C24" s="144"/>
      <c r="D24" s="160"/>
      <c r="E24" s="155"/>
      <c r="F24" s="155">
        <f t="shared" si="1"/>
        <v>831500</v>
      </c>
      <c r="G24" s="156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</row>
    <row r="25" ht="13.5" customHeight="1">
      <c r="A25" s="166"/>
      <c r="B25" s="160"/>
      <c r="C25" s="144"/>
      <c r="D25" s="160"/>
      <c r="E25" s="155"/>
      <c r="F25" s="155">
        <f t="shared" si="1"/>
        <v>831500</v>
      </c>
      <c r="G25" s="156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</row>
    <row r="26" ht="13.5" customHeight="1">
      <c r="A26" s="166"/>
      <c r="B26" s="143"/>
      <c r="C26" s="144"/>
      <c r="D26" s="160"/>
      <c r="E26" s="155"/>
      <c r="F26" s="155">
        <f t="shared" si="1"/>
        <v>831500</v>
      </c>
      <c r="G26" s="156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</row>
    <row r="27" ht="13.5" customHeight="1">
      <c r="A27" s="166"/>
      <c r="B27" s="160"/>
      <c r="C27" s="144"/>
      <c r="D27" s="160"/>
      <c r="E27" s="155"/>
      <c r="F27" s="155">
        <f t="shared" si="1"/>
        <v>831500</v>
      </c>
      <c r="G27" s="156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</row>
    <row r="28" ht="13.5" customHeight="1">
      <c r="A28" s="166"/>
      <c r="B28" s="143"/>
      <c r="C28" s="144"/>
      <c r="D28" s="160"/>
      <c r="E28" s="155"/>
      <c r="F28" s="155">
        <f t="shared" si="1"/>
        <v>831500</v>
      </c>
      <c r="G28" s="156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</row>
    <row r="29" ht="13.5" customHeight="1">
      <c r="A29" s="166"/>
      <c r="B29" s="160"/>
      <c r="C29" s="144"/>
      <c r="D29" s="160"/>
      <c r="E29" s="155"/>
      <c r="F29" s="155">
        <f t="shared" si="1"/>
        <v>831500</v>
      </c>
      <c r="G29" s="156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</row>
    <row r="30" ht="13.5" customHeight="1">
      <c r="A30" s="168">
        <v>45718.0</v>
      </c>
      <c r="B30" s="152" t="s">
        <v>238</v>
      </c>
      <c r="C30" s="144"/>
      <c r="D30" s="152">
        <f t="shared" ref="D30:E30" si="2">SUM(D7:D29)
</f>
        <v>32800000</v>
      </c>
      <c r="E30" s="152">
        <f t="shared" si="2"/>
        <v>31968500</v>
      </c>
      <c r="F30" s="155">
        <f>+D30-E30</f>
        <v>831500</v>
      </c>
      <c r="G30" s="152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</row>
    <row r="31" ht="13.5" customHeight="1">
      <c r="A31" s="168">
        <v>45718.0</v>
      </c>
      <c r="B31" s="169" t="s">
        <v>239</v>
      </c>
      <c r="C31" s="170"/>
      <c r="D31" s="169"/>
      <c r="E31" s="169"/>
      <c r="F31" s="155">
        <f>F30+D31-E31</f>
        <v>831500</v>
      </c>
      <c r="G31" s="152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</row>
    <row r="32" ht="13.5" customHeight="1">
      <c r="A32" s="171"/>
      <c r="B32" s="152" t="s">
        <v>240</v>
      </c>
      <c r="C32" s="172"/>
      <c r="D32" s="160"/>
      <c r="E32" s="160"/>
      <c r="F32" s="155">
        <f>F30-F31</f>
        <v>0</v>
      </c>
      <c r="G32" s="160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</row>
    <row r="33" ht="13.5" customHeight="1">
      <c r="A33" s="173"/>
      <c r="B33" s="174" t="s">
        <v>241</v>
      </c>
      <c r="C33" s="146"/>
      <c r="D33" s="157"/>
      <c r="E33" s="157"/>
      <c r="F33" s="175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</row>
    <row r="34" ht="13.5" customHeight="1">
      <c r="A34" s="173"/>
      <c r="B34" s="176"/>
      <c r="C34" s="146"/>
      <c r="D34" s="157"/>
      <c r="E34" s="157"/>
      <c r="F34" s="175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</row>
    <row r="35" ht="13.5" customHeight="1">
      <c r="A35" s="177"/>
      <c r="B35" s="176"/>
      <c r="C35" s="146"/>
      <c r="D35" s="157"/>
      <c r="E35" s="157"/>
      <c r="F35" s="175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</row>
    <row r="36" ht="13.5" customHeight="1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</row>
    <row r="37" ht="13.5" customHeight="1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</row>
    <row r="38" ht="13.5" customHeight="1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</row>
    <row r="39" ht="13.5" customHeight="1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</row>
    <row r="40" ht="13.5" customHeight="1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</row>
    <row r="41" ht="13.5" customHeight="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</row>
    <row r="42" ht="13.5" customHeight="1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</row>
    <row r="43" ht="13.5" customHeight="1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</row>
    <row r="44" ht="13.5" customHeight="1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</row>
    <row r="45" ht="13.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</row>
    <row r="46" ht="13.5" customHeight="1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</row>
    <row r="47" ht="13.5" customHeight="1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</row>
    <row r="48" ht="13.5" customHeight="1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</row>
    <row r="49" ht="13.5" customHeight="1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</row>
    <row r="50" ht="13.5" customHeight="1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</row>
    <row r="51" ht="13.5" customHeight="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</row>
    <row r="52" ht="13.5" customHeight="1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</row>
    <row r="53" ht="13.5" customHeight="1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</row>
    <row r="54" ht="13.5" customHeight="1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</row>
    <row r="55" ht="13.5" customHeight="1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</row>
    <row r="56" ht="13.5" customHeight="1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</row>
    <row r="57" ht="13.5" customHeight="1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</row>
    <row r="58" ht="13.5" customHeight="1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</row>
    <row r="59" ht="13.5" customHeight="1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</row>
    <row r="60" ht="13.5" customHeight="1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</row>
    <row r="61" ht="13.5" customHeight="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</row>
    <row r="62" ht="13.5" customHeight="1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</row>
    <row r="63" ht="13.5" customHeight="1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</row>
    <row r="64" ht="13.5" customHeight="1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</row>
    <row r="65" ht="13.5" customHeight="1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</row>
    <row r="66" ht="13.5" customHeight="1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</row>
    <row r="67" ht="13.5" customHeight="1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</row>
    <row r="68" ht="13.5" customHeight="1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</row>
    <row r="69" ht="13.5" customHeight="1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</row>
    <row r="70" ht="13.5" customHeight="1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</row>
    <row r="71" ht="13.5" customHeight="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</row>
    <row r="72" ht="13.5" customHeight="1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</row>
    <row r="73" ht="13.5" customHeight="1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</row>
    <row r="74" ht="13.5" customHeight="1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</row>
    <row r="75" ht="13.5" customHeight="1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</row>
    <row r="76" ht="13.5" customHeight="1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</row>
    <row r="77" ht="13.5" customHeight="1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</row>
    <row r="78" ht="13.5" customHeight="1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</row>
    <row r="79" ht="13.5" customHeight="1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</row>
    <row r="80" ht="13.5" customHeight="1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</row>
    <row r="81" ht="13.5" customHeight="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</row>
    <row r="82" ht="13.5" customHeight="1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</row>
    <row r="83" ht="13.5" customHeight="1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</row>
    <row r="84" ht="13.5" customHeight="1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</row>
    <row r="85" ht="13.5" customHeight="1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</row>
    <row r="86" ht="13.5" customHeight="1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</row>
    <row r="87" ht="13.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</row>
    <row r="88" ht="13.5" customHeight="1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</row>
    <row r="89" ht="13.5" customHeight="1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</row>
    <row r="90" ht="13.5" customHeight="1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</row>
    <row r="91" ht="13.5" customHeight="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</row>
    <row r="92" ht="13.5" customHeight="1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</row>
    <row r="93" ht="13.5" customHeight="1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</row>
    <row r="94" ht="13.5" customHeight="1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</row>
    <row r="95" ht="13.5" customHeight="1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</row>
    <row r="96" ht="13.5" customHeight="1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</row>
    <row r="97" ht="13.5" customHeight="1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</row>
    <row r="98" ht="13.5" customHeight="1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</row>
    <row r="99" ht="13.5" customHeight="1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</row>
    <row r="100" ht="13.5" customHeight="1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</row>
    <row r="101" ht="13.5" customHeight="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</row>
    <row r="102" ht="13.5" customHeight="1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</row>
    <row r="103" ht="13.5" customHeight="1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</row>
    <row r="104" ht="13.5" customHeight="1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</row>
    <row r="105" ht="13.5" customHeight="1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</row>
    <row r="106" ht="13.5" customHeight="1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</row>
    <row r="107" ht="13.5" customHeight="1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</row>
    <row r="108" ht="13.5" customHeight="1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</row>
    <row r="109" ht="13.5" customHeight="1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</row>
    <row r="110" ht="13.5" customHeight="1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</row>
    <row r="111" ht="13.5" customHeight="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</row>
    <row r="112" ht="13.5" customHeight="1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</row>
    <row r="113" ht="13.5" customHeight="1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</row>
    <row r="114" ht="13.5" customHeight="1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</row>
    <row r="115" ht="13.5" customHeight="1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</row>
    <row r="116" ht="13.5" customHeight="1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</row>
    <row r="117" ht="13.5" customHeight="1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</row>
    <row r="118" ht="13.5" customHeight="1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</row>
    <row r="119" ht="13.5" customHeight="1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</row>
    <row r="120" ht="13.5" customHeight="1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</row>
    <row r="121" ht="13.5" customHeight="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</row>
    <row r="122" ht="13.5" customHeight="1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</row>
    <row r="123" ht="13.5" customHeight="1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</row>
    <row r="124" ht="13.5" customHeight="1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</row>
    <row r="125" ht="13.5" customHeight="1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</row>
    <row r="126" ht="13.5" customHeight="1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</row>
    <row r="127" ht="13.5" customHeight="1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</row>
    <row r="128" ht="13.5" customHeight="1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</row>
    <row r="129" ht="13.5" customHeight="1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</row>
    <row r="130" ht="13.5" customHeight="1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</row>
    <row r="131" ht="13.5" customHeight="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</row>
    <row r="132" ht="13.5" customHeight="1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</row>
    <row r="133" ht="13.5" customHeight="1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</row>
    <row r="134" ht="13.5" customHeight="1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</row>
    <row r="135" ht="13.5" customHeight="1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</row>
    <row r="136" ht="13.5" customHeight="1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</row>
    <row r="137" ht="13.5" customHeight="1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</row>
    <row r="138" ht="13.5" customHeight="1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</row>
    <row r="139" ht="13.5" customHeight="1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</row>
    <row r="140" ht="13.5" customHeight="1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</row>
    <row r="141" ht="13.5" customHeight="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</row>
    <row r="142" ht="13.5" customHeight="1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</row>
    <row r="143" ht="13.5" customHeight="1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</row>
    <row r="144" ht="13.5" customHeight="1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</row>
    <row r="145" ht="13.5" customHeight="1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</row>
    <row r="146" ht="13.5" customHeight="1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</row>
    <row r="147" ht="13.5" customHeight="1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</row>
    <row r="148" ht="13.5" customHeight="1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</row>
    <row r="149" ht="13.5" customHeight="1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</row>
    <row r="150" ht="13.5" customHeight="1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</row>
    <row r="151" ht="13.5" customHeight="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</row>
    <row r="152" ht="13.5" customHeight="1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</row>
    <row r="153" ht="13.5" customHeight="1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</row>
    <row r="154" ht="13.5" customHeight="1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</row>
    <row r="155" ht="13.5" customHeight="1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</row>
    <row r="156" ht="13.5" customHeight="1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</row>
    <row r="157" ht="13.5" customHeight="1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</row>
    <row r="158" ht="13.5" customHeight="1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</row>
    <row r="159" ht="13.5" customHeight="1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</row>
    <row r="160" ht="13.5" customHeight="1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</row>
    <row r="161" ht="13.5" customHeight="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</row>
    <row r="162" ht="13.5" customHeight="1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</row>
    <row r="163" ht="13.5" customHeight="1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</row>
    <row r="164" ht="13.5" customHeight="1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</row>
    <row r="165" ht="13.5" customHeight="1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</row>
    <row r="166" ht="13.5" customHeight="1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</row>
    <row r="167" ht="13.5" customHeight="1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</row>
    <row r="168" ht="13.5" customHeight="1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</row>
    <row r="169" ht="13.5" customHeight="1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</row>
    <row r="170" ht="13.5" customHeight="1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</row>
    <row r="171" ht="13.5" customHeight="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</row>
    <row r="172" ht="13.5" customHeight="1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</row>
    <row r="173" ht="13.5" customHeight="1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</row>
    <row r="174" ht="13.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</row>
    <row r="175" ht="13.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</row>
    <row r="176" ht="13.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</row>
    <row r="177" ht="13.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</row>
    <row r="178" ht="13.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</row>
    <row r="179" ht="13.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</row>
    <row r="180" ht="13.5" customHeight="1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</row>
    <row r="181" ht="13.5" customHeight="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</row>
    <row r="182" ht="13.5" customHeight="1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</row>
    <row r="183" ht="13.5" customHeight="1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</row>
    <row r="184" ht="13.5" customHeight="1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</row>
    <row r="185" ht="13.5" customHeight="1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</row>
    <row r="186" ht="13.5" customHeight="1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</row>
    <row r="187" ht="13.5" customHeight="1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</row>
    <row r="188" ht="13.5" customHeight="1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</row>
    <row r="189" ht="13.5" customHeight="1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</row>
    <row r="190" ht="13.5" customHeight="1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</row>
    <row r="191" ht="13.5" customHeight="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</row>
    <row r="192" ht="13.5" customHeight="1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</row>
    <row r="193" ht="13.5" customHeight="1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</row>
    <row r="194" ht="13.5" customHeight="1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</row>
    <row r="195" ht="13.5" customHeight="1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</row>
    <row r="196" ht="13.5" customHeight="1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</row>
    <row r="197" ht="13.5" customHeight="1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</row>
    <row r="198" ht="13.5" customHeight="1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</row>
    <row r="199" ht="13.5" customHeight="1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</row>
    <row r="200" ht="13.5" customHeight="1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</row>
    <row r="201" ht="13.5" customHeight="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</row>
    <row r="202" ht="13.5" customHeight="1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</row>
    <row r="203" ht="13.5" customHeight="1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</row>
    <row r="204" ht="13.5" customHeight="1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</row>
    <row r="205" ht="13.5" customHeight="1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</row>
    <row r="206" ht="13.5" customHeight="1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</row>
    <row r="207" ht="13.5" customHeight="1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</row>
    <row r="208" ht="13.5" customHeight="1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</row>
    <row r="209" ht="13.5" customHeight="1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</row>
    <row r="210" ht="13.5" customHeight="1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</row>
    <row r="211" ht="13.5" customHeight="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</row>
    <row r="212" ht="13.5" customHeight="1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</row>
    <row r="213" ht="13.5" customHeight="1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</row>
    <row r="214" ht="13.5" customHeight="1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</row>
    <row r="215" ht="13.5" customHeight="1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</row>
    <row r="216" ht="13.5" customHeight="1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</row>
    <row r="217" ht="13.5" customHeight="1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</row>
    <row r="218" ht="13.5" customHeight="1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</row>
    <row r="219" ht="13.5" customHeight="1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</row>
    <row r="220" ht="13.5" customHeight="1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</row>
    <row r="221" ht="13.5" customHeight="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</row>
    <row r="222" ht="13.5" customHeight="1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</row>
    <row r="223" ht="13.5" customHeight="1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</row>
    <row r="224" ht="13.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</row>
    <row r="225" ht="13.5" customHeight="1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</row>
    <row r="226" ht="13.5" customHeight="1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</row>
    <row r="227" ht="13.5" customHeight="1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</row>
    <row r="228" ht="13.5" customHeight="1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</row>
    <row r="229" ht="13.5" customHeight="1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</row>
    <row r="230" ht="13.5" customHeight="1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</row>
    <row r="231" ht="13.5" customHeight="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</row>
    <row r="232" ht="13.5" customHeight="1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</row>
    <row r="233" ht="13.5" customHeight="1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</row>
    <row r="234" ht="13.5" customHeight="1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</row>
    <row r="235" ht="13.5" customHeight="1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</row>
    <row r="236" ht="13.5" customHeight="1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</row>
    <row r="237" ht="13.5" customHeight="1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</row>
    <row r="238" ht="13.5" customHeight="1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</row>
    <row r="239" ht="13.5" customHeight="1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</row>
    <row r="240" ht="13.5" customHeight="1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</row>
    <row r="241" ht="13.5" customHeight="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</row>
    <row r="242" ht="13.5" customHeight="1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</row>
    <row r="243" ht="13.5" customHeight="1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</row>
    <row r="244" ht="13.5" customHeight="1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</row>
    <row r="245" ht="13.5" customHeight="1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</row>
    <row r="246" ht="13.5" customHeight="1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</row>
    <row r="247" ht="13.5" customHeight="1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</row>
    <row r="248" ht="13.5" customHeight="1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</row>
    <row r="249" ht="13.5" customHeight="1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</row>
    <row r="250" ht="13.5" customHeight="1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</row>
    <row r="251" ht="13.5" customHeight="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</row>
    <row r="252" ht="13.5" customHeight="1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</row>
    <row r="253" ht="13.5" customHeight="1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</row>
    <row r="254" ht="13.5" customHeight="1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</row>
    <row r="255" ht="13.5" customHeight="1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</row>
    <row r="256" ht="13.5" customHeight="1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</row>
    <row r="257" ht="13.5" customHeight="1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</row>
    <row r="258" ht="13.5" customHeight="1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</row>
    <row r="259" ht="13.5" customHeight="1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</row>
    <row r="260" ht="13.5" customHeight="1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</row>
    <row r="261" ht="13.5" customHeight="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</row>
    <row r="262" ht="13.5" customHeight="1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</row>
    <row r="263" ht="13.5" customHeight="1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</row>
    <row r="264" ht="13.5" customHeight="1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</row>
    <row r="265" ht="13.5" customHeight="1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</row>
    <row r="266" ht="13.5" customHeight="1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</row>
    <row r="267" ht="13.5" customHeight="1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</row>
    <row r="268" ht="13.5" customHeight="1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</row>
    <row r="269" ht="13.5" customHeight="1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</row>
    <row r="270" ht="13.5" customHeight="1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</row>
    <row r="271" ht="13.5" customHeight="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</row>
    <row r="272" ht="13.5" customHeight="1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</row>
    <row r="273" ht="13.5" customHeight="1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</row>
    <row r="274" ht="13.5" customHeight="1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</row>
    <row r="275" ht="13.5" customHeight="1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</row>
    <row r="276" ht="13.5" customHeight="1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</row>
    <row r="277" ht="13.5" customHeight="1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</row>
    <row r="278" ht="13.5" customHeight="1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</row>
    <row r="279" ht="13.5" customHeight="1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</row>
    <row r="280" ht="13.5" customHeight="1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</row>
    <row r="281" ht="13.5" customHeight="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</row>
    <row r="282" ht="13.5" customHeight="1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</row>
    <row r="283" ht="13.5" customHeight="1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</row>
    <row r="284" ht="13.5" customHeight="1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</row>
    <row r="285" ht="13.5" customHeight="1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</row>
    <row r="286" ht="13.5" customHeight="1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</row>
    <row r="287" ht="13.5" customHeight="1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</row>
    <row r="288" ht="13.5" customHeight="1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</row>
    <row r="289" ht="13.5" customHeight="1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</row>
    <row r="290" ht="13.5" customHeight="1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</row>
    <row r="291" ht="13.5" customHeight="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</row>
    <row r="292" ht="13.5" customHeight="1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</row>
    <row r="293" ht="13.5" customHeight="1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</row>
    <row r="294" ht="13.5" customHeight="1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</row>
    <row r="295" ht="13.5" customHeight="1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</row>
    <row r="296" ht="13.5" customHeight="1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</row>
    <row r="297" ht="13.5" customHeight="1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</row>
    <row r="298" ht="13.5" customHeight="1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</row>
    <row r="299" ht="13.5" customHeight="1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</row>
    <row r="300" ht="13.5" customHeight="1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</row>
    <row r="301" ht="13.5" customHeight="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</row>
    <row r="302" ht="13.5" customHeight="1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</row>
    <row r="303" ht="13.5" customHeight="1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</row>
    <row r="304" ht="13.5" customHeight="1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</row>
    <row r="305" ht="13.5" customHeight="1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</row>
    <row r="306" ht="13.5" customHeight="1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</row>
    <row r="307" ht="13.5" customHeight="1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</row>
    <row r="308" ht="13.5" customHeight="1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</row>
    <row r="309" ht="13.5" customHeight="1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</row>
    <row r="310" ht="13.5" customHeight="1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</row>
    <row r="311" ht="13.5" customHeight="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</row>
    <row r="312" ht="13.5" customHeight="1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</row>
    <row r="313" ht="13.5" customHeight="1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</row>
    <row r="314" ht="13.5" customHeight="1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</row>
    <row r="315" ht="13.5" customHeight="1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</row>
    <row r="316" ht="13.5" customHeight="1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</row>
    <row r="317" ht="13.5" customHeight="1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</row>
    <row r="318" ht="13.5" customHeight="1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</row>
    <row r="319" ht="13.5" customHeight="1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</row>
    <row r="320" ht="13.5" customHeight="1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</row>
    <row r="321" ht="13.5" customHeight="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</row>
    <row r="322" ht="13.5" customHeight="1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</row>
    <row r="323" ht="13.5" customHeight="1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</row>
    <row r="324" ht="13.5" customHeight="1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</row>
    <row r="325" ht="13.5" customHeight="1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</row>
    <row r="326" ht="13.5" customHeight="1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</row>
    <row r="327" ht="13.5" customHeight="1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</row>
    <row r="328" ht="13.5" customHeight="1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</row>
    <row r="329" ht="13.5" customHeight="1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</row>
    <row r="330" ht="13.5" customHeight="1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</row>
    <row r="331" ht="13.5" customHeight="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</row>
    <row r="332" ht="13.5" customHeight="1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</row>
    <row r="333" ht="13.5" customHeight="1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</row>
    <row r="334" ht="13.5" customHeight="1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</row>
    <row r="335" ht="13.5" customHeight="1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</row>
    <row r="336" ht="13.5" customHeight="1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</row>
    <row r="337" ht="13.5" customHeight="1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</row>
    <row r="338" ht="13.5" customHeight="1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</row>
    <row r="339" ht="13.5" customHeight="1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</row>
    <row r="340" ht="13.5" customHeight="1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</row>
    <row r="341" ht="13.5" customHeight="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</row>
    <row r="342" ht="13.5" customHeight="1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</row>
    <row r="343" ht="13.5" customHeight="1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</row>
    <row r="344" ht="13.5" customHeight="1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</row>
    <row r="345" ht="13.5" customHeight="1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</row>
    <row r="346" ht="13.5" customHeight="1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</row>
    <row r="347" ht="13.5" customHeight="1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</row>
    <row r="348" ht="13.5" customHeight="1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</row>
    <row r="349" ht="13.5" customHeight="1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</row>
    <row r="350" ht="13.5" customHeight="1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</row>
    <row r="351" ht="13.5" customHeight="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</row>
    <row r="352" ht="13.5" customHeight="1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</row>
    <row r="353" ht="13.5" customHeight="1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</row>
    <row r="354" ht="13.5" customHeight="1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</row>
    <row r="355" ht="13.5" customHeight="1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</row>
    <row r="356" ht="13.5" customHeight="1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</row>
    <row r="357" ht="13.5" customHeight="1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</row>
    <row r="358" ht="13.5" customHeight="1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</row>
    <row r="359" ht="13.5" customHeight="1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</row>
    <row r="360" ht="13.5" customHeight="1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</row>
    <row r="361" ht="13.5" customHeight="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</row>
    <row r="362" ht="13.5" customHeight="1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</row>
    <row r="363" ht="13.5" customHeight="1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</row>
    <row r="364" ht="13.5" customHeight="1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</row>
    <row r="365" ht="13.5" customHeight="1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</row>
    <row r="366" ht="13.5" customHeight="1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</row>
    <row r="367" ht="13.5" customHeight="1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</row>
    <row r="368" ht="13.5" customHeight="1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</row>
    <row r="369" ht="13.5" customHeight="1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</row>
    <row r="370" ht="13.5" customHeight="1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</row>
    <row r="371" ht="13.5" customHeight="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</row>
    <row r="372" ht="13.5" customHeight="1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</row>
    <row r="373" ht="13.5" customHeight="1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</row>
    <row r="374" ht="13.5" customHeight="1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</row>
    <row r="375" ht="13.5" customHeight="1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</row>
    <row r="376" ht="13.5" customHeight="1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</row>
    <row r="377" ht="13.5" customHeight="1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</row>
    <row r="378" ht="13.5" customHeight="1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</row>
    <row r="379" ht="13.5" customHeight="1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</row>
    <row r="380" ht="13.5" customHeight="1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</row>
    <row r="381" ht="13.5" customHeight="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</row>
    <row r="382" ht="13.5" customHeight="1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</row>
    <row r="383" ht="13.5" customHeight="1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</row>
    <row r="384" ht="13.5" customHeight="1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</row>
    <row r="385" ht="13.5" customHeight="1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</row>
    <row r="386" ht="13.5" customHeight="1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</row>
    <row r="387" ht="13.5" customHeight="1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</row>
    <row r="388" ht="13.5" customHeight="1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</row>
    <row r="389" ht="13.5" customHeight="1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</row>
    <row r="390" ht="13.5" customHeight="1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</row>
    <row r="391" ht="13.5" customHeight="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</row>
    <row r="392" ht="13.5" customHeight="1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</row>
    <row r="393" ht="13.5" customHeight="1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</row>
    <row r="394" ht="13.5" customHeight="1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</row>
    <row r="395" ht="13.5" customHeight="1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</row>
    <row r="396" ht="13.5" customHeight="1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</row>
    <row r="397" ht="13.5" customHeight="1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</row>
    <row r="398" ht="13.5" customHeight="1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</row>
    <row r="399" ht="13.5" customHeight="1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</row>
    <row r="400" ht="13.5" customHeight="1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</row>
    <row r="401" ht="13.5" customHeight="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</row>
    <row r="402" ht="13.5" customHeight="1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</row>
    <row r="403" ht="13.5" customHeight="1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</row>
    <row r="404" ht="13.5" customHeight="1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</row>
    <row r="405" ht="13.5" customHeight="1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</row>
    <row r="406" ht="13.5" customHeight="1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</row>
    <row r="407" ht="13.5" customHeight="1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</row>
    <row r="408" ht="13.5" customHeight="1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</row>
    <row r="409" ht="13.5" customHeight="1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</row>
    <row r="410" ht="13.5" customHeight="1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</row>
    <row r="411" ht="13.5" customHeight="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</row>
    <row r="412" ht="13.5" customHeight="1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</row>
    <row r="413" ht="13.5" customHeight="1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</row>
    <row r="414" ht="13.5" customHeight="1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</row>
    <row r="415" ht="13.5" customHeight="1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</row>
    <row r="416" ht="13.5" customHeight="1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</row>
    <row r="417" ht="13.5" customHeight="1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</row>
    <row r="418" ht="13.5" customHeight="1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</row>
    <row r="419" ht="13.5" customHeight="1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</row>
    <row r="420" ht="13.5" customHeight="1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</row>
    <row r="421" ht="13.5" customHeight="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</row>
    <row r="422" ht="13.5" customHeight="1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</row>
    <row r="423" ht="13.5" customHeight="1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</row>
    <row r="424" ht="13.5" customHeight="1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</row>
    <row r="425" ht="13.5" customHeight="1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</row>
    <row r="426" ht="13.5" customHeight="1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</row>
    <row r="427" ht="13.5" customHeight="1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</row>
    <row r="428" ht="13.5" customHeight="1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</row>
    <row r="429" ht="13.5" customHeight="1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</row>
    <row r="430" ht="13.5" customHeight="1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</row>
    <row r="431" ht="13.5" customHeight="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</row>
    <row r="432" ht="13.5" customHeight="1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</row>
    <row r="433" ht="13.5" customHeight="1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</row>
    <row r="434" ht="13.5" customHeight="1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</row>
    <row r="435" ht="13.5" customHeight="1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</row>
    <row r="436" ht="13.5" customHeight="1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</row>
    <row r="437" ht="13.5" customHeight="1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</row>
    <row r="438" ht="13.5" customHeight="1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</row>
    <row r="439" ht="13.5" customHeight="1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</row>
    <row r="440" ht="13.5" customHeight="1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</row>
    <row r="441" ht="13.5" customHeight="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</row>
    <row r="442" ht="13.5" customHeight="1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</row>
    <row r="443" ht="13.5" customHeight="1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</row>
    <row r="444" ht="13.5" customHeight="1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</row>
    <row r="445" ht="13.5" customHeight="1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</row>
    <row r="446" ht="13.5" customHeight="1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</row>
    <row r="447" ht="13.5" customHeight="1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</row>
    <row r="448" ht="13.5" customHeight="1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</row>
    <row r="449" ht="13.5" customHeight="1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</row>
    <row r="450" ht="13.5" customHeight="1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</row>
    <row r="451" ht="13.5" customHeight="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</row>
    <row r="452" ht="13.5" customHeight="1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</row>
    <row r="453" ht="13.5" customHeight="1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</row>
    <row r="454" ht="13.5" customHeight="1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</row>
    <row r="455" ht="13.5" customHeight="1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</row>
    <row r="456" ht="13.5" customHeight="1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</row>
    <row r="457" ht="13.5" customHeight="1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</row>
    <row r="458" ht="13.5" customHeight="1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</row>
    <row r="459" ht="13.5" customHeight="1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</row>
    <row r="460" ht="13.5" customHeight="1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</row>
    <row r="461" ht="13.5" customHeight="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</row>
    <row r="462" ht="13.5" customHeight="1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</row>
    <row r="463" ht="13.5" customHeight="1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</row>
    <row r="464" ht="13.5" customHeight="1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</row>
    <row r="465" ht="13.5" customHeight="1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</row>
    <row r="466" ht="13.5" customHeight="1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</row>
    <row r="467" ht="13.5" customHeight="1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</row>
    <row r="468" ht="13.5" customHeight="1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</row>
    <row r="469" ht="13.5" customHeight="1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</row>
    <row r="470" ht="13.5" customHeight="1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</row>
    <row r="471" ht="13.5" customHeight="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</row>
    <row r="472" ht="13.5" customHeight="1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</row>
    <row r="473" ht="13.5" customHeight="1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</row>
    <row r="474" ht="13.5" customHeight="1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</row>
    <row r="475" ht="13.5" customHeight="1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</row>
    <row r="476" ht="13.5" customHeight="1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</row>
    <row r="477" ht="13.5" customHeight="1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</row>
    <row r="478" ht="13.5" customHeight="1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</row>
    <row r="479" ht="13.5" customHeight="1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</row>
    <row r="480" ht="13.5" customHeight="1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</row>
    <row r="481" ht="13.5" customHeight="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</row>
    <row r="482" ht="13.5" customHeight="1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</row>
    <row r="483" ht="13.5" customHeight="1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</row>
    <row r="484" ht="13.5" customHeight="1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</row>
    <row r="485" ht="13.5" customHeight="1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</row>
    <row r="486" ht="13.5" customHeight="1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</row>
    <row r="487" ht="13.5" customHeight="1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</row>
    <row r="488" ht="13.5" customHeight="1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</row>
    <row r="489" ht="13.5" customHeight="1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</row>
    <row r="490" ht="13.5" customHeight="1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</row>
    <row r="491" ht="13.5" customHeight="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</row>
    <row r="492" ht="13.5" customHeight="1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</row>
    <row r="493" ht="13.5" customHeight="1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</row>
    <row r="494" ht="13.5" customHeight="1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</row>
    <row r="495" ht="13.5" customHeight="1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</row>
    <row r="496" ht="13.5" customHeight="1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</row>
    <row r="497" ht="13.5" customHeight="1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</row>
    <row r="498" ht="13.5" customHeight="1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</row>
    <row r="499" ht="13.5" customHeight="1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</row>
    <row r="500" ht="13.5" customHeight="1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</row>
    <row r="501" ht="13.5" customHeight="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</row>
    <row r="502" ht="13.5" customHeight="1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</row>
    <row r="503" ht="13.5" customHeight="1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</row>
    <row r="504" ht="13.5" customHeight="1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</row>
    <row r="505" ht="13.5" customHeight="1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</row>
    <row r="506" ht="13.5" customHeight="1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</row>
    <row r="507" ht="13.5" customHeight="1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</row>
    <row r="508" ht="13.5" customHeight="1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</row>
    <row r="509" ht="13.5" customHeight="1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</row>
    <row r="510" ht="13.5" customHeight="1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</row>
    <row r="511" ht="13.5" customHeight="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</row>
    <row r="512" ht="13.5" customHeight="1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</row>
    <row r="513" ht="13.5" customHeight="1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</row>
    <row r="514" ht="13.5" customHeight="1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</row>
    <row r="515" ht="13.5" customHeight="1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</row>
    <row r="516" ht="13.5" customHeight="1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</row>
    <row r="517" ht="13.5" customHeight="1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</row>
    <row r="518" ht="13.5" customHeight="1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</row>
    <row r="519" ht="13.5" customHeight="1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</row>
    <row r="520" ht="13.5" customHeight="1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</row>
    <row r="521" ht="13.5" customHeight="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</row>
    <row r="522" ht="13.5" customHeight="1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</row>
    <row r="523" ht="13.5" customHeight="1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</row>
    <row r="524" ht="13.5" customHeight="1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</row>
    <row r="525" ht="13.5" customHeight="1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</row>
    <row r="526" ht="13.5" customHeight="1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</row>
    <row r="527" ht="13.5" customHeight="1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</row>
    <row r="528" ht="13.5" customHeight="1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</row>
    <row r="529" ht="13.5" customHeight="1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</row>
    <row r="530" ht="13.5" customHeight="1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</row>
    <row r="531" ht="13.5" customHeight="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</row>
    <row r="532" ht="13.5" customHeight="1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</row>
    <row r="533" ht="13.5" customHeight="1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</row>
    <row r="534" ht="13.5" customHeight="1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</row>
    <row r="535" ht="13.5" customHeight="1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</row>
    <row r="536" ht="13.5" customHeight="1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</row>
    <row r="537" ht="13.5" customHeight="1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</row>
    <row r="538" ht="13.5" customHeight="1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</row>
    <row r="539" ht="13.5" customHeight="1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</row>
    <row r="540" ht="13.5" customHeight="1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</row>
    <row r="541" ht="13.5" customHeight="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</row>
    <row r="542" ht="13.5" customHeight="1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</row>
    <row r="543" ht="13.5" customHeight="1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</row>
    <row r="544" ht="13.5" customHeight="1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</row>
    <row r="545" ht="13.5" customHeight="1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</row>
    <row r="546" ht="13.5" customHeight="1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</row>
    <row r="547" ht="13.5" customHeight="1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</row>
    <row r="548" ht="13.5" customHeight="1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</row>
    <row r="549" ht="13.5" customHeight="1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</row>
    <row r="550" ht="13.5" customHeight="1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</row>
    <row r="551" ht="13.5" customHeight="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</row>
    <row r="552" ht="13.5" customHeight="1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</row>
    <row r="553" ht="13.5" customHeight="1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</row>
    <row r="554" ht="13.5" customHeight="1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</row>
    <row r="555" ht="13.5" customHeight="1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</row>
    <row r="556" ht="13.5" customHeight="1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</row>
    <row r="557" ht="13.5" customHeight="1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</row>
    <row r="558" ht="13.5" customHeight="1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</row>
    <row r="559" ht="13.5" customHeight="1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</row>
    <row r="560" ht="13.5" customHeight="1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</row>
    <row r="561" ht="13.5" customHeight="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</row>
    <row r="562" ht="13.5" customHeight="1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</row>
    <row r="563" ht="13.5" customHeight="1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</row>
    <row r="564" ht="13.5" customHeight="1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</row>
    <row r="565" ht="13.5" customHeight="1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</row>
    <row r="566" ht="13.5" customHeight="1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</row>
    <row r="567" ht="13.5" customHeight="1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</row>
    <row r="568" ht="13.5" customHeight="1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</row>
    <row r="569" ht="13.5" customHeight="1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</row>
    <row r="570" ht="13.5" customHeight="1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</row>
    <row r="571" ht="13.5" customHeight="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</row>
    <row r="572" ht="13.5" customHeight="1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</row>
    <row r="573" ht="13.5" customHeight="1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</row>
    <row r="574" ht="13.5" customHeight="1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</row>
    <row r="575" ht="13.5" customHeight="1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</row>
    <row r="576" ht="13.5" customHeight="1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</row>
    <row r="577" ht="13.5" customHeight="1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</row>
    <row r="578" ht="13.5" customHeight="1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</row>
    <row r="579" ht="13.5" customHeight="1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</row>
    <row r="580" ht="13.5" customHeight="1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</row>
    <row r="581" ht="13.5" customHeight="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</row>
    <row r="582" ht="13.5" customHeight="1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</row>
    <row r="583" ht="13.5" customHeight="1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</row>
    <row r="584" ht="13.5" customHeight="1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</row>
    <row r="585" ht="13.5" customHeight="1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</row>
    <row r="586" ht="13.5" customHeight="1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</row>
    <row r="587" ht="13.5" customHeight="1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</row>
    <row r="588" ht="13.5" customHeight="1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</row>
    <row r="589" ht="13.5" customHeight="1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</row>
    <row r="590" ht="13.5" customHeight="1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</row>
    <row r="591" ht="13.5" customHeight="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</row>
    <row r="592" ht="13.5" customHeight="1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</row>
    <row r="593" ht="13.5" customHeight="1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</row>
    <row r="594" ht="13.5" customHeight="1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</row>
    <row r="595" ht="13.5" customHeight="1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</row>
    <row r="596" ht="13.5" customHeight="1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</row>
    <row r="597" ht="13.5" customHeight="1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</row>
    <row r="598" ht="13.5" customHeight="1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</row>
    <row r="599" ht="13.5" customHeight="1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</row>
    <row r="600" ht="13.5" customHeight="1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</row>
    <row r="601" ht="13.5" customHeight="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</row>
    <row r="602" ht="13.5" customHeight="1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</row>
    <row r="603" ht="13.5" customHeight="1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</row>
    <row r="604" ht="13.5" customHeight="1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</row>
    <row r="605" ht="13.5" customHeight="1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</row>
    <row r="606" ht="13.5" customHeight="1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</row>
    <row r="607" ht="13.5" customHeight="1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</row>
    <row r="608" ht="13.5" customHeight="1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</row>
    <row r="609" ht="13.5" customHeight="1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</row>
    <row r="610" ht="13.5" customHeight="1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</row>
    <row r="611" ht="13.5" customHeight="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</row>
    <row r="612" ht="13.5" customHeight="1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</row>
    <row r="613" ht="13.5" customHeight="1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</row>
    <row r="614" ht="13.5" customHeight="1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</row>
    <row r="615" ht="13.5" customHeight="1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</row>
    <row r="616" ht="13.5" customHeight="1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</row>
    <row r="617" ht="13.5" customHeight="1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</row>
    <row r="618" ht="13.5" customHeight="1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</row>
    <row r="619" ht="13.5" customHeight="1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</row>
    <row r="620" ht="13.5" customHeight="1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</row>
    <row r="621" ht="13.5" customHeight="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</row>
    <row r="622" ht="13.5" customHeight="1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</row>
    <row r="623" ht="13.5" customHeight="1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</row>
    <row r="624" ht="13.5" customHeight="1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</row>
    <row r="625" ht="13.5" customHeight="1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</row>
    <row r="626" ht="13.5" customHeight="1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</row>
    <row r="627" ht="13.5" customHeight="1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</row>
    <row r="628" ht="13.5" customHeight="1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</row>
    <row r="629" ht="13.5" customHeight="1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</row>
    <row r="630" ht="13.5" customHeight="1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</row>
    <row r="631" ht="13.5" customHeight="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</row>
    <row r="632" ht="13.5" customHeight="1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</row>
    <row r="633" ht="13.5" customHeight="1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</row>
    <row r="634" ht="13.5" customHeight="1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</row>
    <row r="635" ht="13.5" customHeight="1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</row>
    <row r="636" ht="13.5" customHeight="1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</row>
    <row r="637" ht="13.5" customHeight="1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</row>
    <row r="638" ht="13.5" customHeight="1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</row>
    <row r="639" ht="13.5" customHeight="1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</row>
    <row r="640" ht="13.5" customHeight="1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</row>
    <row r="641" ht="13.5" customHeight="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</row>
    <row r="642" ht="13.5" customHeight="1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</row>
    <row r="643" ht="13.5" customHeight="1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</row>
    <row r="644" ht="13.5" customHeight="1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</row>
    <row r="645" ht="13.5" customHeight="1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</row>
    <row r="646" ht="13.5" customHeight="1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</row>
    <row r="647" ht="13.5" customHeight="1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</row>
    <row r="648" ht="13.5" customHeight="1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</row>
    <row r="649" ht="13.5" customHeight="1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</row>
    <row r="650" ht="13.5" customHeight="1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</row>
    <row r="651" ht="13.5" customHeight="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</row>
    <row r="652" ht="13.5" customHeight="1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</row>
    <row r="653" ht="13.5" customHeight="1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</row>
    <row r="654" ht="13.5" customHeight="1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</row>
    <row r="655" ht="13.5" customHeight="1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</row>
    <row r="656" ht="13.5" customHeight="1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</row>
    <row r="657" ht="13.5" customHeight="1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</row>
    <row r="658" ht="13.5" customHeight="1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</row>
    <row r="659" ht="13.5" customHeight="1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</row>
    <row r="660" ht="13.5" customHeight="1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</row>
    <row r="661" ht="13.5" customHeight="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</row>
    <row r="662" ht="13.5" customHeight="1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</row>
    <row r="663" ht="13.5" customHeight="1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</row>
    <row r="664" ht="13.5" customHeight="1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</row>
    <row r="665" ht="13.5" customHeight="1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</row>
    <row r="666" ht="13.5" customHeight="1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</row>
    <row r="667" ht="13.5" customHeight="1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</row>
    <row r="668" ht="13.5" customHeight="1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</row>
    <row r="669" ht="13.5" customHeight="1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</row>
    <row r="670" ht="13.5" customHeight="1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</row>
    <row r="671" ht="13.5" customHeight="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</row>
    <row r="672" ht="13.5" customHeight="1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</row>
    <row r="673" ht="13.5" customHeight="1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</row>
    <row r="674" ht="13.5" customHeight="1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</row>
    <row r="675" ht="13.5" customHeight="1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</row>
    <row r="676" ht="13.5" customHeight="1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</row>
    <row r="677" ht="13.5" customHeight="1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</row>
    <row r="678" ht="13.5" customHeight="1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</row>
    <row r="679" ht="13.5" customHeight="1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</row>
    <row r="680" ht="13.5" customHeight="1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</row>
    <row r="681" ht="13.5" customHeight="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</row>
    <row r="682" ht="13.5" customHeight="1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</row>
    <row r="683" ht="13.5" customHeight="1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</row>
    <row r="684" ht="13.5" customHeight="1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</row>
    <row r="685" ht="13.5" customHeight="1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</row>
    <row r="686" ht="13.5" customHeight="1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</row>
    <row r="687" ht="13.5" customHeight="1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</row>
    <row r="688" ht="13.5" customHeight="1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</row>
    <row r="689" ht="13.5" customHeight="1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</row>
    <row r="690" ht="13.5" customHeight="1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</row>
    <row r="691" ht="13.5" customHeight="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</row>
    <row r="692" ht="13.5" customHeight="1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</row>
    <row r="693" ht="13.5" customHeight="1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</row>
    <row r="694" ht="13.5" customHeight="1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</row>
    <row r="695" ht="13.5" customHeight="1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</row>
    <row r="696" ht="13.5" customHeight="1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</row>
    <row r="697" ht="13.5" customHeight="1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</row>
    <row r="698" ht="13.5" customHeight="1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</row>
    <row r="699" ht="13.5" customHeight="1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</row>
    <row r="700" ht="13.5" customHeight="1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</row>
    <row r="701" ht="13.5" customHeight="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</row>
    <row r="702" ht="13.5" customHeight="1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</row>
    <row r="703" ht="13.5" customHeight="1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</row>
    <row r="704" ht="13.5" customHeight="1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</row>
    <row r="705" ht="13.5" customHeight="1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</row>
    <row r="706" ht="13.5" customHeight="1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</row>
    <row r="707" ht="13.5" customHeight="1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</row>
    <row r="708" ht="13.5" customHeight="1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</row>
    <row r="709" ht="13.5" customHeight="1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</row>
    <row r="710" ht="13.5" customHeight="1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</row>
    <row r="711" ht="13.5" customHeight="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</row>
    <row r="712" ht="13.5" customHeight="1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</row>
    <row r="713" ht="13.5" customHeight="1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</row>
    <row r="714" ht="13.5" customHeight="1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</row>
    <row r="715" ht="13.5" customHeight="1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</row>
    <row r="716" ht="13.5" customHeight="1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</row>
    <row r="717" ht="13.5" customHeight="1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</row>
    <row r="718" ht="13.5" customHeight="1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</row>
    <row r="719" ht="13.5" customHeight="1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</row>
    <row r="720" ht="13.5" customHeight="1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</row>
    <row r="721" ht="13.5" customHeight="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</row>
    <row r="722" ht="13.5" customHeight="1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</row>
    <row r="723" ht="13.5" customHeight="1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</row>
    <row r="724" ht="13.5" customHeight="1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</row>
    <row r="725" ht="13.5" customHeight="1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</row>
    <row r="726" ht="13.5" customHeight="1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</row>
    <row r="727" ht="13.5" customHeight="1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</row>
    <row r="728" ht="13.5" customHeight="1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</row>
    <row r="729" ht="13.5" customHeight="1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</row>
    <row r="730" ht="13.5" customHeight="1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</row>
    <row r="731" ht="13.5" customHeight="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</row>
    <row r="732" ht="13.5" customHeight="1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</row>
    <row r="733" ht="13.5" customHeight="1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</row>
    <row r="734" ht="13.5" customHeight="1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</row>
    <row r="735" ht="13.5" customHeight="1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</row>
    <row r="736" ht="13.5" customHeight="1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</row>
    <row r="737" ht="13.5" customHeight="1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</row>
    <row r="738" ht="13.5" customHeight="1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</row>
    <row r="739" ht="13.5" customHeight="1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</row>
    <row r="740" ht="13.5" customHeight="1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</row>
    <row r="741" ht="13.5" customHeight="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</row>
    <row r="742" ht="13.5" customHeight="1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</row>
    <row r="743" ht="13.5" customHeight="1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</row>
    <row r="744" ht="13.5" customHeight="1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</row>
    <row r="745" ht="13.5" customHeight="1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</row>
    <row r="746" ht="13.5" customHeight="1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</row>
    <row r="747" ht="13.5" customHeight="1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</row>
    <row r="748" ht="13.5" customHeight="1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</row>
    <row r="749" ht="13.5" customHeight="1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</row>
    <row r="750" ht="13.5" customHeight="1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</row>
    <row r="751" ht="13.5" customHeight="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</row>
    <row r="752" ht="13.5" customHeight="1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</row>
    <row r="753" ht="13.5" customHeight="1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</row>
    <row r="754" ht="13.5" customHeight="1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</row>
    <row r="755" ht="13.5" customHeight="1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</row>
    <row r="756" ht="13.5" customHeight="1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</row>
    <row r="757" ht="13.5" customHeight="1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</row>
    <row r="758" ht="13.5" customHeight="1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</row>
    <row r="759" ht="13.5" customHeight="1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</row>
    <row r="760" ht="13.5" customHeight="1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</row>
    <row r="761" ht="13.5" customHeight="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</row>
    <row r="762" ht="13.5" customHeight="1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</row>
    <row r="763" ht="13.5" customHeight="1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</row>
    <row r="764" ht="13.5" customHeight="1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</row>
    <row r="765" ht="13.5" customHeight="1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</row>
    <row r="766" ht="13.5" customHeight="1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</row>
    <row r="767" ht="13.5" customHeight="1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</row>
    <row r="768" ht="13.5" customHeight="1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</row>
    <row r="769" ht="13.5" customHeight="1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</row>
    <row r="770" ht="13.5" customHeight="1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</row>
    <row r="771" ht="13.5" customHeight="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</row>
    <row r="772" ht="13.5" customHeight="1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</row>
    <row r="773" ht="13.5" customHeight="1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</row>
    <row r="774" ht="13.5" customHeight="1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</row>
    <row r="775" ht="13.5" customHeight="1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</row>
    <row r="776" ht="13.5" customHeight="1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</row>
    <row r="777" ht="13.5" customHeight="1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</row>
    <row r="778" ht="13.5" customHeight="1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</row>
    <row r="779" ht="13.5" customHeight="1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</row>
    <row r="780" ht="13.5" customHeight="1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</row>
    <row r="781" ht="13.5" customHeight="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</row>
    <row r="782" ht="13.5" customHeight="1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</row>
    <row r="783" ht="13.5" customHeight="1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</row>
    <row r="784" ht="13.5" customHeight="1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</row>
    <row r="785" ht="13.5" customHeight="1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</row>
    <row r="786" ht="13.5" customHeight="1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</row>
    <row r="787" ht="13.5" customHeight="1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</row>
    <row r="788" ht="13.5" customHeight="1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</row>
    <row r="789" ht="13.5" customHeight="1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</row>
    <row r="790" ht="13.5" customHeight="1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</row>
    <row r="791" ht="13.5" customHeight="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</row>
    <row r="792" ht="13.5" customHeight="1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</row>
    <row r="793" ht="13.5" customHeight="1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</row>
    <row r="794" ht="13.5" customHeight="1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</row>
    <row r="795" ht="13.5" customHeight="1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</row>
    <row r="796" ht="13.5" customHeight="1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</row>
    <row r="797" ht="13.5" customHeight="1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</row>
    <row r="798" ht="13.5" customHeight="1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</row>
    <row r="799" ht="13.5" customHeight="1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</row>
    <row r="800" ht="13.5" customHeight="1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</row>
    <row r="801" ht="13.5" customHeight="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</row>
    <row r="802" ht="13.5" customHeight="1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</row>
    <row r="803" ht="13.5" customHeight="1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</row>
    <row r="804" ht="13.5" customHeight="1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</row>
    <row r="805" ht="13.5" customHeight="1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</row>
    <row r="806" ht="13.5" customHeight="1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</row>
    <row r="807" ht="13.5" customHeight="1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</row>
    <row r="808" ht="13.5" customHeight="1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</row>
    <row r="809" ht="13.5" customHeight="1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</row>
    <row r="810" ht="13.5" customHeight="1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</row>
    <row r="811" ht="13.5" customHeight="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</row>
    <row r="812" ht="13.5" customHeight="1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</row>
    <row r="813" ht="13.5" customHeight="1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</row>
    <row r="814" ht="13.5" customHeight="1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</row>
    <row r="815" ht="13.5" customHeight="1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</row>
    <row r="816" ht="13.5" customHeight="1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</row>
    <row r="817" ht="13.5" customHeight="1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</row>
    <row r="818" ht="13.5" customHeight="1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</row>
    <row r="819" ht="13.5" customHeight="1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</row>
    <row r="820" ht="13.5" customHeight="1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</row>
    <row r="821" ht="13.5" customHeight="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</row>
    <row r="822" ht="13.5" customHeight="1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</row>
    <row r="823" ht="13.5" customHeight="1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</row>
    <row r="824" ht="13.5" customHeight="1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</row>
    <row r="825" ht="13.5" customHeight="1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</row>
    <row r="826" ht="13.5" customHeight="1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</row>
    <row r="827" ht="13.5" customHeight="1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</row>
    <row r="828" ht="13.5" customHeight="1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</row>
    <row r="829" ht="13.5" customHeight="1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</row>
    <row r="830" ht="13.5" customHeight="1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</row>
    <row r="831" ht="13.5" customHeight="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</row>
    <row r="832" ht="13.5" customHeight="1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</row>
    <row r="833" ht="13.5" customHeight="1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</row>
    <row r="834" ht="13.5" customHeight="1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</row>
    <row r="835" ht="13.5" customHeight="1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</row>
    <row r="836" ht="13.5" customHeight="1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</row>
    <row r="837" ht="13.5" customHeight="1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</row>
    <row r="838" ht="13.5" customHeight="1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</row>
    <row r="839" ht="13.5" customHeight="1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</row>
    <row r="840" ht="13.5" customHeight="1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</row>
    <row r="841" ht="13.5" customHeight="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</row>
    <row r="842" ht="13.5" customHeight="1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</row>
    <row r="843" ht="13.5" customHeight="1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</row>
    <row r="844" ht="13.5" customHeight="1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</row>
    <row r="845" ht="13.5" customHeight="1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</row>
    <row r="846" ht="13.5" customHeight="1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</row>
    <row r="847" ht="13.5" customHeight="1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</row>
    <row r="848" ht="13.5" customHeight="1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</row>
    <row r="849" ht="13.5" customHeight="1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</row>
    <row r="850" ht="13.5" customHeight="1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</row>
    <row r="851" ht="13.5" customHeight="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</row>
    <row r="852" ht="13.5" customHeight="1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</row>
    <row r="853" ht="13.5" customHeight="1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</row>
    <row r="854" ht="13.5" customHeight="1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</row>
    <row r="855" ht="13.5" customHeight="1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</row>
    <row r="856" ht="13.5" customHeight="1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</row>
    <row r="857" ht="13.5" customHeight="1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</row>
    <row r="858" ht="13.5" customHeight="1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</row>
    <row r="859" ht="13.5" customHeight="1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</row>
    <row r="860" ht="13.5" customHeight="1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</row>
    <row r="861" ht="13.5" customHeight="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</row>
    <row r="862" ht="13.5" customHeight="1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</row>
    <row r="863" ht="13.5" customHeight="1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</row>
    <row r="864" ht="13.5" customHeight="1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</row>
    <row r="865" ht="13.5" customHeight="1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</row>
    <row r="866" ht="13.5" customHeight="1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</row>
    <row r="867" ht="13.5" customHeight="1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</row>
    <row r="868" ht="13.5" customHeight="1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</row>
    <row r="869" ht="13.5" customHeight="1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</row>
    <row r="870" ht="13.5" customHeight="1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</row>
    <row r="871" ht="13.5" customHeight="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</row>
    <row r="872" ht="13.5" customHeight="1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</row>
    <row r="873" ht="13.5" customHeight="1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</row>
    <row r="874" ht="13.5" customHeight="1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</row>
    <row r="875" ht="13.5" customHeight="1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</row>
    <row r="876" ht="13.5" customHeight="1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</row>
    <row r="877" ht="13.5" customHeight="1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</row>
    <row r="878" ht="13.5" customHeight="1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</row>
    <row r="879" ht="13.5" customHeight="1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</row>
    <row r="880" ht="13.5" customHeight="1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</row>
    <row r="881" ht="13.5" customHeight="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</row>
    <row r="882" ht="13.5" customHeight="1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</row>
    <row r="883" ht="13.5" customHeight="1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</row>
    <row r="884" ht="13.5" customHeight="1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</row>
    <row r="885" ht="13.5" customHeight="1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</row>
    <row r="886" ht="13.5" customHeight="1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</row>
    <row r="887" ht="13.5" customHeight="1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</row>
    <row r="888" ht="13.5" customHeight="1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</row>
    <row r="889" ht="13.5" customHeight="1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</row>
    <row r="890" ht="13.5" customHeight="1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</row>
    <row r="891" ht="13.5" customHeight="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</row>
    <row r="892" ht="13.5" customHeight="1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</row>
    <row r="893" ht="13.5" customHeight="1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</row>
    <row r="894" ht="13.5" customHeight="1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</row>
    <row r="895" ht="13.5" customHeight="1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</row>
    <row r="896" ht="13.5" customHeight="1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</row>
    <row r="897" ht="13.5" customHeight="1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</row>
    <row r="898" ht="13.5" customHeight="1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</row>
    <row r="899" ht="13.5" customHeight="1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</row>
    <row r="900" ht="13.5" customHeight="1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</row>
    <row r="901" ht="13.5" customHeight="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</row>
    <row r="902" ht="13.5" customHeight="1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</row>
    <row r="903" ht="13.5" customHeight="1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</row>
    <row r="904" ht="13.5" customHeight="1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</row>
    <row r="905" ht="13.5" customHeight="1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</row>
    <row r="906" ht="13.5" customHeight="1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</row>
    <row r="907" ht="13.5" customHeight="1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</row>
    <row r="908" ht="13.5" customHeight="1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</row>
    <row r="909" ht="13.5" customHeight="1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</row>
    <row r="910" ht="13.5" customHeight="1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</row>
    <row r="911" ht="13.5" customHeight="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</row>
    <row r="912" ht="13.5" customHeight="1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</row>
    <row r="913" ht="13.5" customHeight="1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</row>
    <row r="914" ht="13.5" customHeight="1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</row>
    <row r="915" ht="13.5" customHeight="1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</row>
    <row r="916" ht="13.5" customHeight="1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</row>
    <row r="917" ht="13.5" customHeight="1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</row>
    <row r="918" ht="13.5" customHeight="1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</row>
    <row r="919" ht="13.5" customHeight="1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</row>
    <row r="920" ht="13.5" customHeight="1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</row>
    <row r="921" ht="13.5" customHeight="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</row>
    <row r="922" ht="13.5" customHeight="1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</row>
    <row r="923" ht="13.5" customHeight="1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</row>
    <row r="924" ht="13.5" customHeight="1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</row>
    <row r="925" ht="13.5" customHeight="1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</row>
    <row r="926" ht="13.5" customHeight="1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</row>
    <row r="927" ht="13.5" customHeight="1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</row>
    <row r="928" ht="13.5" customHeight="1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</row>
    <row r="929" ht="13.5" customHeight="1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</row>
    <row r="930" ht="13.5" customHeight="1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</row>
    <row r="931" ht="13.5" customHeight="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</row>
    <row r="932" ht="13.5" customHeight="1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</row>
    <row r="933" ht="13.5" customHeight="1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</row>
    <row r="934" ht="13.5" customHeight="1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</row>
    <row r="935" ht="13.5" customHeight="1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</row>
    <row r="936" ht="13.5" customHeight="1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</row>
    <row r="937" ht="13.5" customHeight="1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</row>
    <row r="938" ht="13.5" customHeight="1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</row>
    <row r="939" ht="13.5" customHeight="1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</row>
    <row r="940" ht="13.5" customHeight="1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</row>
    <row r="941" ht="13.5" customHeight="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</row>
    <row r="942" ht="13.5" customHeight="1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</row>
    <row r="943" ht="13.5" customHeight="1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</row>
    <row r="944" ht="13.5" customHeight="1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</row>
    <row r="945" ht="13.5" customHeight="1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</row>
    <row r="946" ht="13.5" customHeight="1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</row>
    <row r="947" ht="13.5" customHeight="1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</row>
    <row r="948" ht="13.5" customHeight="1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</row>
    <row r="949" ht="13.5" customHeight="1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</row>
    <row r="950" ht="13.5" customHeight="1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</row>
    <row r="951" ht="13.5" customHeight="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</row>
    <row r="952" ht="13.5" customHeight="1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</row>
    <row r="953" ht="13.5" customHeight="1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</row>
    <row r="954" ht="13.5" customHeight="1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</row>
    <row r="955" ht="13.5" customHeight="1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</row>
    <row r="956" ht="13.5" customHeight="1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</row>
    <row r="957" ht="13.5" customHeight="1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</row>
    <row r="958" ht="13.5" customHeight="1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</row>
    <row r="959" ht="13.5" customHeight="1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</row>
    <row r="960" ht="13.5" customHeight="1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</row>
    <row r="961" ht="13.5" customHeight="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</row>
    <row r="962" ht="13.5" customHeight="1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</row>
    <row r="963" ht="13.5" customHeight="1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</row>
    <row r="964" ht="13.5" customHeight="1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</row>
    <row r="965" ht="13.5" customHeight="1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</row>
    <row r="966" ht="13.5" customHeight="1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</row>
    <row r="967" ht="13.5" customHeight="1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</row>
    <row r="968" ht="13.5" customHeight="1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</row>
    <row r="969" ht="13.5" customHeight="1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</row>
    <row r="970" ht="13.5" customHeight="1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</row>
    <row r="971" ht="13.5" customHeight="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</row>
    <row r="972" ht="13.5" customHeight="1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</row>
    <row r="973" ht="13.5" customHeight="1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</row>
    <row r="974" ht="13.5" customHeight="1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</row>
    <row r="975" ht="13.5" customHeight="1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</row>
    <row r="976" ht="13.5" customHeight="1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</row>
    <row r="977" ht="13.5" customHeight="1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</row>
    <row r="978" ht="13.5" customHeight="1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</row>
    <row r="979" ht="13.5" customHeight="1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</row>
    <row r="980" ht="13.5" customHeight="1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</row>
    <row r="981" ht="13.5" customHeight="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</row>
    <row r="982" ht="13.5" customHeight="1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</row>
    <row r="983" ht="13.5" customHeight="1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</row>
    <row r="984" ht="13.5" customHeight="1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</row>
    <row r="985" ht="13.5" customHeight="1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</row>
    <row r="986" ht="13.5" customHeight="1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</row>
    <row r="987" ht="13.5" customHeight="1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</row>
    <row r="988" ht="13.5" customHeight="1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</row>
    <row r="989" ht="13.5" customHeight="1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</row>
    <row r="990" ht="13.5" customHeight="1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</row>
    <row r="991" ht="13.5" customHeight="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</row>
    <row r="992" ht="13.5" customHeight="1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</row>
    <row r="993" ht="13.5" customHeight="1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</row>
    <row r="994" ht="13.5" customHeight="1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</row>
    <row r="995" ht="13.5" customHeight="1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</row>
    <row r="996" ht="13.5" customHeight="1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</row>
    <row r="997" ht="13.5" customHeight="1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</row>
    <row r="998" ht="13.5" customHeight="1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</row>
    <row r="999" ht="13.5" customHeight="1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</row>
    <row r="1000" ht="13.5" customHeight="1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</row>
  </sheetData>
  <printOptions/>
  <pageMargins bottom="0.7480314960629921" footer="0.0" header="0.0" left="0.7086614173228347" right="0.2755905511811024" top="0.5511811023622047"/>
  <pageSetup paperSize="9" scale="65" orientation="portrait"/>
  <headerFooter>
    <oddHeader>&amp;LRAPPORT FINANCIER </oddHeader>
    <oddFooter>&amp;RPage 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0.57"/>
    <col customWidth="1" min="3" max="3" width="24.86"/>
    <col customWidth="1" min="4" max="4" width="14.71"/>
    <col customWidth="1" min="5" max="5" width="23.86"/>
    <col customWidth="1" min="6" max="6" width="11.43"/>
    <col customWidth="1" min="7" max="7" width="13.29"/>
    <col customWidth="1" min="8" max="8" width="14.71"/>
    <col customWidth="1" min="9" max="9" width="14.14"/>
    <col customWidth="1" min="10" max="26" width="11.43"/>
  </cols>
  <sheetData>
    <row r="1" ht="14.25" customHeight="1">
      <c r="A1" s="178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4.25" customHeight="1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 ht="14.25" customHeight="1">
      <c r="A3" s="180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 ht="14.25" customHeight="1">
      <c r="A4" s="183"/>
      <c r="B4" s="184"/>
      <c r="C4" s="185" t="s">
        <v>148</v>
      </c>
      <c r="D4" s="186"/>
      <c r="E4" s="184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 ht="14.25" customHeight="1">
      <c r="A5" s="187"/>
      <c r="B5" s="188"/>
      <c r="C5" s="189" t="s">
        <v>242</v>
      </c>
      <c r="D5" s="190"/>
      <c r="E5" s="191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 ht="14.25" customHeight="1">
      <c r="A6" s="192"/>
      <c r="B6" s="193"/>
      <c r="C6" s="194"/>
      <c r="D6" s="195"/>
      <c r="E6" s="196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 ht="14.25" customHeight="1">
      <c r="A7" s="197"/>
      <c r="B7" s="196"/>
      <c r="C7" s="28"/>
      <c r="D7" s="195"/>
      <c r="E7" s="198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ht="14.25" customHeight="1">
      <c r="A8" s="193" t="s">
        <v>149</v>
      </c>
      <c r="B8" s="193" t="s">
        <v>243</v>
      </c>
      <c r="C8" s="193" t="s">
        <v>150</v>
      </c>
      <c r="D8" s="193" t="s">
        <v>151</v>
      </c>
      <c r="E8" s="193" t="s">
        <v>32</v>
      </c>
      <c r="F8" s="199" t="s">
        <v>244</v>
      </c>
      <c r="G8" s="199" t="s">
        <v>245</v>
      </c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 ht="14.25" customHeight="1">
      <c r="A9" s="187"/>
      <c r="B9" s="188"/>
      <c r="C9" s="200"/>
      <c r="D9" s="190"/>
      <c r="E9" s="191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 ht="14.25" customHeight="1">
      <c r="A10" s="197">
        <v>1.0</v>
      </c>
      <c r="B10" s="193" t="s">
        <v>246</v>
      </c>
      <c r="C10" s="28" t="s">
        <v>153</v>
      </c>
      <c r="D10" s="201" t="s">
        <v>247</v>
      </c>
      <c r="E10" s="193">
        <v>6000000.0</v>
      </c>
      <c r="F10" s="199" t="s">
        <v>248</v>
      </c>
      <c r="G10" s="199" t="s">
        <v>249</v>
      </c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 ht="14.25" customHeight="1">
      <c r="A11" s="197">
        <v>2.0</v>
      </c>
      <c r="B11" s="193" t="s">
        <v>246</v>
      </c>
      <c r="C11" s="28" t="s">
        <v>153</v>
      </c>
      <c r="D11" s="201" t="s">
        <v>250</v>
      </c>
      <c r="E11" s="193">
        <v>2100000.0</v>
      </c>
      <c r="F11" s="199" t="s">
        <v>248</v>
      </c>
      <c r="G11" s="199" t="s">
        <v>249</v>
      </c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 ht="14.25" customHeight="1">
      <c r="A12" s="193">
        <v>3.0</v>
      </c>
      <c r="B12" s="193" t="s">
        <v>246</v>
      </c>
      <c r="C12" s="193" t="s">
        <v>153</v>
      </c>
      <c r="D12" s="201" t="s">
        <v>251</v>
      </c>
      <c r="E12" s="193">
        <v>400000.0</v>
      </c>
      <c r="F12" s="199" t="s">
        <v>248</v>
      </c>
      <c r="G12" s="199" t="s">
        <v>249</v>
      </c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 ht="14.25" customHeight="1">
      <c r="A13" s="202">
        <v>4.0</v>
      </c>
      <c r="B13" s="202" t="s">
        <v>246</v>
      </c>
      <c r="C13" s="202" t="s">
        <v>153</v>
      </c>
      <c r="D13" s="202" t="s">
        <v>252</v>
      </c>
      <c r="E13" s="202">
        <v>3600000.0</v>
      </c>
      <c r="F13" s="202" t="s">
        <v>248</v>
      </c>
      <c r="G13" s="202" t="s">
        <v>249</v>
      </c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4.25" customHeight="1">
      <c r="A14" s="202">
        <v>5.0</v>
      </c>
      <c r="B14" s="202" t="s">
        <v>246</v>
      </c>
      <c r="C14" s="202" t="s">
        <v>153</v>
      </c>
      <c r="D14" s="202" t="s">
        <v>253</v>
      </c>
      <c r="E14" s="202">
        <v>4400000.0</v>
      </c>
      <c r="F14" s="202" t="s">
        <v>248</v>
      </c>
      <c r="G14" s="202" t="s">
        <v>249</v>
      </c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14.25" customHeight="1">
      <c r="A15" s="202">
        <v>6.0</v>
      </c>
      <c r="B15" s="202" t="s">
        <v>246</v>
      </c>
      <c r="C15" s="202" t="s">
        <v>153</v>
      </c>
      <c r="D15" s="202" t="s">
        <v>254</v>
      </c>
      <c r="E15" s="202">
        <v>4000000.0</v>
      </c>
      <c r="F15" s="202" t="s">
        <v>248</v>
      </c>
      <c r="G15" s="202" t="s">
        <v>249</v>
      </c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4.25" customHeight="1">
      <c r="A16" s="202">
        <v>7.0</v>
      </c>
      <c r="B16" s="202" t="s">
        <v>246</v>
      </c>
      <c r="C16" s="202" t="s">
        <v>153</v>
      </c>
      <c r="D16" s="202" t="s">
        <v>255</v>
      </c>
      <c r="E16" s="202">
        <v>3000000.0</v>
      </c>
      <c r="F16" s="202" t="s">
        <v>248</v>
      </c>
      <c r="G16" s="202" t="s">
        <v>249</v>
      </c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ht="14.25" customHeight="1">
      <c r="A17" s="202">
        <v>8.0</v>
      </c>
      <c r="B17" s="202" t="s">
        <v>246</v>
      </c>
      <c r="C17" s="202" t="s">
        <v>153</v>
      </c>
      <c r="D17" s="202" t="s">
        <v>256</v>
      </c>
      <c r="E17" s="202">
        <v>5000000.0</v>
      </c>
      <c r="F17" s="202" t="s">
        <v>248</v>
      </c>
      <c r="G17" s="202" t="s">
        <v>249</v>
      </c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4.25" customHeight="1">
      <c r="A18" s="179"/>
      <c r="B18" s="179"/>
      <c r="C18" s="179"/>
      <c r="D18" s="202" t="s">
        <v>257</v>
      </c>
      <c r="E18" s="202">
        <v>2.85E7</v>
      </c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ht="14.2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 ht="14.25" customHeight="1">
      <c r="A20" s="202">
        <v>9.0</v>
      </c>
      <c r="B20" s="202" t="s">
        <v>258</v>
      </c>
      <c r="C20" s="202" t="s">
        <v>259</v>
      </c>
      <c r="D20" s="202" t="s">
        <v>260</v>
      </c>
      <c r="E20" s="202">
        <v>400000.0</v>
      </c>
      <c r="F20" s="202" t="s">
        <v>171</v>
      </c>
      <c r="G20" s="202" t="s">
        <v>261</v>
      </c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 ht="14.25" customHeight="1">
      <c r="A21" s="202">
        <v>10.0</v>
      </c>
      <c r="B21" s="202" t="s">
        <v>258</v>
      </c>
      <c r="C21" s="202" t="s">
        <v>262</v>
      </c>
      <c r="D21" s="202" t="s">
        <v>260</v>
      </c>
      <c r="E21" s="202">
        <v>2100000.0</v>
      </c>
      <c r="F21" s="202" t="s">
        <v>171</v>
      </c>
      <c r="G21" s="202" t="s">
        <v>261</v>
      </c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 ht="14.25" customHeight="1">
      <c r="A22" s="202">
        <v>11.0</v>
      </c>
      <c r="B22" s="202" t="s">
        <v>258</v>
      </c>
      <c r="C22" s="202" t="s">
        <v>263</v>
      </c>
      <c r="D22" s="202" t="s">
        <v>264</v>
      </c>
      <c r="E22" s="202">
        <v>2500000.0</v>
      </c>
      <c r="F22" s="202" t="s">
        <v>171</v>
      </c>
      <c r="G22" s="202" t="s">
        <v>265</v>
      </c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 ht="14.2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 ht="14.25" customHeight="1">
      <c r="A24" s="202">
        <v>12.0</v>
      </c>
      <c r="B24" s="202" t="s">
        <v>266</v>
      </c>
      <c r="C24" s="202" t="s">
        <v>267</v>
      </c>
      <c r="D24" s="202" t="s">
        <v>268</v>
      </c>
      <c r="E24" s="202" t="s">
        <v>178</v>
      </c>
      <c r="F24" s="202" t="s">
        <v>269</v>
      </c>
      <c r="G24" s="202" t="s">
        <v>270</v>
      </c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 ht="14.25" customHeight="1">
      <c r="A25" s="202">
        <v>13.0</v>
      </c>
      <c r="B25" s="202" t="s">
        <v>266</v>
      </c>
      <c r="C25" s="202" t="s">
        <v>271</v>
      </c>
      <c r="D25" s="202" t="s">
        <v>272</v>
      </c>
      <c r="E25" s="202" t="s">
        <v>178</v>
      </c>
      <c r="F25" s="202" t="s">
        <v>269</v>
      </c>
      <c r="G25" s="202" t="s">
        <v>270</v>
      </c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 ht="14.25" customHeight="1">
      <c r="A26" s="202">
        <v>14.0</v>
      </c>
      <c r="B26" s="202" t="s">
        <v>266</v>
      </c>
      <c r="C26" s="202" t="s">
        <v>273</v>
      </c>
      <c r="D26" s="202" t="s">
        <v>274</v>
      </c>
      <c r="E26" s="202">
        <v>1200000.0</v>
      </c>
      <c r="F26" s="202" t="s">
        <v>275</v>
      </c>
      <c r="G26" s="202" t="s">
        <v>276</v>
      </c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 ht="14.25" customHeight="1">
      <c r="A27" s="202">
        <v>15.0</v>
      </c>
      <c r="B27" s="202" t="s">
        <v>266</v>
      </c>
      <c r="C27" s="202" t="s">
        <v>277</v>
      </c>
      <c r="D27" s="202" t="s">
        <v>278</v>
      </c>
      <c r="E27" s="202">
        <v>1200000.0</v>
      </c>
      <c r="F27" s="202" t="s">
        <v>275</v>
      </c>
      <c r="G27" s="202" t="s">
        <v>276</v>
      </c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 ht="14.25" customHeight="1">
      <c r="A28" s="202">
        <v>16.0</v>
      </c>
      <c r="B28" s="202" t="s">
        <v>266</v>
      </c>
      <c r="C28" s="202" t="s">
        <v>279</v>
      </c>
      <c r="D28" s="202" t="s">
        <v>280</v>
      </c>
      <c r="E28" s="202">
        <v>1200000.0</v>
      </c>
      <c r="F28" s="202" t="s">
        <v>275</v>
      </c>
      <c r="G28" s="202" t="s">
        <v>276</v>
      </c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 ht="14.25" customHeight="1">
      <c r="A29" s="202">
        <v>17.0</v>
      </c>
      <c r="B29" s="202" t="s">
        <v>266</v>
      </c>
      <c r="C29" s="202" t="s">
        <v>281</v>
      </c>
      <c r="D29" s="202" t="s">
        <v>282</v>
      </c>
      <c r="E29" s="202" t="s">
        <v>178</v>
      </c>
      <c r="F29" s="202" t="s">
        <v>171</v>
      </c>
      <c r="G29" s="202" t="s">
        <v>276</v>
      </c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 ht="14.25" customHeight="1">
      <c r="A30" s="179"/>
      <c r="B30" s="179"/>
      <c r="C30" s="179"/>
      <c r="D30" s="202" t="s">
        <v>283</v>
      </c>
      <c r="E30" s="202">
        <v>3600000.0</v>
      </c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 ht="14.2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 ht="14.25" customHeight="1">
      <c r="A32" s="202">
        <v>18.0</v>
      </c>
      <c r="B32" s="202" t="s">
        <v>284</v>
      </c>
      <c r="C32" s="202" t="s">
        <v>285</v>
      </c>
      <c r="D32" s="202" t="s">
        <v>286</v>
      </c>
      <c r="E32" s="202">
        <v>3000000.0</v>
      </c>
      <c r="F32" s="202" t="s">
        <v>269</v>
      </c>
      <c r="G32" s="202" t="s">
        <v>287</v>
      </c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 ht="14.25" customHeight="1">
      <c r="A33" s="202">
        <v>19.0</v>
      </c>
      <c r="B33" s="202" t="s">
        <v>284</v>
      </c>
      <c r="C33" s="202" t="s">
        <v>288</v>
      </c>
      <c r="D33" s="202" t="s">
        <v>289</v>
      </c>
      <c r="E33" s="202">
        <v>1000000.0</v>
      </c>
      <c r="F33" s="202" t="s">
        <v>275</v>
      </c>
      <c r="G33" s="202" t="s">
        <v>287</v>
      </c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 ht="14.25" customHeight="1">
      <c r="A34" s="202">
        <v>20.0</v>
      </c>
      <c r="B34" s="202" t="s">
        <v>284</v>
      </c>
      <c r="C34" s="202" t="s">
        <v>290</v>
      </c>
      <c r="D34" s="202" t="s">
        <v>291</v>
      </c>
      <c r="E34" s="202">
        <v>1000000.0</v>
      </c>
      <c r="F34" s="202" t="s">
        <v>275</v>
      </c>
      <c r="G34" s="202" t="s">
        <v>287</v>
      </c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 ht="14.25" customHeight="1">
      <c r="A35" s="202">
        <v>21.0</v>
      </c>
      <c r="B35" s="202" t="s">
        <v>284</v>
      </c>
      <c r="C35" s="202" t="s">
        <v>292</v>
      </c>
      <c r="D35" s="202" t="s">
        <v>293</v>
      </c>
      <c r="E35" s="202">
        <v>1000000.0</v>
      </c>
      <c r="F35" s="202" t="s">
        <v>275</v>
      </c>
      <c r="G35" s="202" t="s">
        <v>287</v>
      </c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 ht="14.25" customHeight="1">
      <c r="A36" s="202">
        <v>22.0</v>
      </c>
      <c r="B36" s="202" t="s">
        <v>284</v>
      </c>
      <c r="C36" s="202" t="s">
        <v>186</v>
      </c>
      <c r="D36" s="202" t="s">
        <v>294</v>
      </c>
      <c r="E36" s="202" t="s">
        <v>178</v>
      </c>
      <c r="F36" s="202" t="s">
        <v>171</v>
      </c>
      <c r="G36" s="202" t="s">
        <v>295</v>
      </c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 ht="14.25" customHeight="1">
      <c r="A37" s="179"/>
      <c r="B37" s="179"/>
      <c r="C37" s="179"/>
      <c r="D37" s="202" t="s">
        <v>296</v>
      </c>
      <c r="E37" s="202">
        <v>3000000.0</v>
      </c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 ht="14.2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 ht="14.25" customHeight="1">
      <c r="A39" s="202">
        <v>23.0</v>
      </c>
      <c r="B39" s="202" t="s">
        <v>297</v>
      </c>
      <c r="C39" s="202" t="s">
        <v>298</v>
      </c>
      <c r="D39" s="202" t="s">
        <v>299</v>
      </c>
      <c r="E39" s="202">
        <v>4400000.0</v>
      </c>
      <c r="F39" s="202" t="s">
        <v>300</v>
      </c>
      <c r="G39" s="202" t="s">
        <v>301</v>
      </c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 ht="14.25" customHeight="1">
      <c r="A40" s="202">
        <v>24.0</v>
      </c>
      <c r="B40" s="202" t="s">
        <v>297</v>
      </c>
      <c r="C40" s="202" t="s">
        <v>302</v>
      </c>
      <c r="D40" s="202" t="s">
        <v>294</v>
      </c>
      <c r="E40" s="202">
        <v>4000000.0</v>
      </c>
      <c r="F40" s="202" t="s">
        <v>275</v>
      </c>
      <c r="G40" s="202" t="s">
        <v>301</v>
      </c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 ht="14.25" customHeight="1">
      <c r="A41" s="202">
        <v>25.0</v>
      </c>
      <c r="B41" s="202" t="s">
        <v>297</v>
      </c>
      <c r="C41" s="202" t="s">
        <v>303</v>
      </c>
      <c r="D41" s="202" t="s">
        <v>304</v>
      </c>
      <c r="E41" s="202" t="s">
        <v>305</v>
      </c>
      <c r="F41" s="202" t="s">
        <v>306</v>
      </c>
      <c r="G41" s="203" t="s">
        <v>307</v>
      </c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 ht="14.25" customHeight="1">
      <c r="A42" s="179"/>
      <c r="B42" s="179"/>
      <c r="C42" s="179"/>
      <c r="D42" s="202" t="s">
        <v>308</v>
      </c>
      <c r="E42" s="202">
        <v>8400000.0</v>
      </c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 ht="14.2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 ht="14.25" customHeight="1">
      <c r="A44" s="202">
        <v>26.0</v>
      </c>
      <c r="B44" s="202" t="s">
        <v>68</v>
      </c>
      <c r="C44" s="202" t="s">
        <v>309</v>
      </c>
      <c r="D44" s="202" t="s">
        <v>310</v>
      </c>
      <c r="E44" s="202">
        <v>6000000.0</v>
      </c>
      <c r="F44" s="202" t="s">
        <v>311</v>
      </c>
      <c r="G44" s="202" t="s">
        <v>301</v>
      </c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 ht="14.25" customHeight="1">
      <c r="A45" s="202">
        <v>27.0</v>
      </c>
      <c r="B45" s="202" t="s">
        <v>68</v>
      </c>
      <c r="C45" s="202" t="s">
        <v>312</v>
      </c>
      <c r="D45" s="202" t="s">
        <v>313</v>
      </c>
      <c r="E45" s="202">
        <v>5000000.0</v>
      </c>
      <c r="F45" s="202" t="s">
        <v>311</v>
      </c>
      <c r="G45" s="202" t="s">
        <v>301</v>
      </c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 ht="14.25" customHeight="1">
      <c r="A46" s="202">
        <v>28.0</v>
      </c>
      <c r="B46" s="202" t="s">
        <v>68</v>
      </c>
      <c r="C46" s="202" t="s">
        <v>314</v>
      </c>
      <c r="D46" s="202" t="s">
        <v>315</v>
      </c>
      <c r="E46" s="202" t="s">
        <v>305</v>
      </c>
      <c r="F46" s="202" t="s">
        <v>306</v>
      </c>
      <c r="G46" s="203" t="s">
        <v>198</v>
      </c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 ht="14.25" customHeight="1">
      <c r="A47" s="202">
        <v>29.0</v>
      </c>
      <c r="B47" s="202" t="s">
        <v>68</v>
      </c>
      <c r="C47" s="202" t="s">
        <v>202</v>
      </c>
      <c r="D47" s="202" t="s">
        <v>316</v>
      </c>
      <c r="E47" s="202" t="s">
        <v>305</v>
      </c>
      <c r="F47" s="202" t="s">
        <v>317</v>
      </c>
      <c r="G47" s="202" t="s">
        <v>318</v>
      </c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 ht="14.25" customHeight="1">
      <c r="A48" s="202">
        <v>30.0</v>
      </c>
      <c r="B48" s="202" t="s">
        <v>68</v>
      </c>
      <c r="C48" s="202" t="s">
        <v>319</v>
      </c>
      <c r="D48" s="202" t="s">
        <v>320</v>
      </c>
      <c r="E48" s="202" t="s">
        <v>305</v>
      </c>
      <c r="F48" s="202" t="s">
        <v>321</v>
      </c>
      <c r="G48" s="202" t="s">
        <v>322</v>
      </c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 ht="14.25" customHeight="1">
      <c r="A49" s="202">
        <v>31.0</v>
      </c>
      <c r="B49" s="202" t="s">
        <v>68</v>
      </c>
      <c r="C49" s="202" t="s">
        <v>323</v>
      </c>
      <c r="D49" s="202" t="s">
        <v>324</v>
      </c>
      <c r="E49" s="202" t="s">
        <v>305</v>
      </c>
      <c r="F49" s="202" t="s">
        <v>325</v>
      </c>
      <c r="G49" s="202" t="s">
        <v>326</v>
      </c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 ht="14.25" customHeight="1">
      <c r="A50" s="179"/>
      <c r="B50" s="179"/>
      <c r="C50" s="179"/>
      <c r="D50" s="202" t="s">
        <v>327</v>
      </c>
      <c r="E50" s="202">
        <v>1.1E7</v>
      </c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 ht="14.2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 ht="14.25" customHeight="1">
      <c r="A52" s="202">
        <v>32.0</v>
      </c>
      <c r="B52" s="202" t="s">
        <v>328</v>
      </c>
      <c r="C52" s="202" t="s">
        <v>183</v>
      </c>
      <c r="D52" s="202" t="s">
        <v>294</v>
      </c>
      <c r="E52" s="202" t="s">
        <v>178</v>
      </c>
      <c r="F52" s="202" t="s">
        <v>171</v>
      </c>
      <c r="G52" s="202" t="s">
        <v>329</v>
      </c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ht="14.25" customHeight="1">
      <c r="A53" s="202">
        <v>33.0</v>
      </c>
      <c r="B53" s="202" t="s">
        <v>328</v>
      </c>
      <c r="C53" s="202" t="s">
        <v>330</v>
      </c>
      <c r="D53" s="202" t="s">
        <v>294</v>
      </c>
      <c r="E53" s="202" t="s">
        <v>178</v>
      </c>
      <c r="F53" s="202" t="s">
        <v>171</v>
      </c>
      <c r="G53" s="202" t="s">
        <v>329</v>
      </c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 ht="14.2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 ht="14.2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 ht="14.25" customHeight="1">
      <c r="A56" s="179"/>
      <c r="B56" s="179"/>
      <c r="C56" s="179"/>
      <c r="D56" s="202" t="s">
        <v>331</v>
      </c>
      <c r="E56" s="202">
        <v>2.85E7</v>
      </c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 ht="14.2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 ht="14.2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 ht="14.25" customHeight="1">
      <c r="A59" s="202" t="s">
        <v>332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 ht="14.25" customHeight="1">
      <c r="A60" s="202" t="s">
        <v>333</v>
      </c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 ht="14.25" customHeight="1">
      <c r="A61" s="202" t="s">
        <v>334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ht="14.25" customHeight="1">
      <c r="A62" s="202" t="s">
        <v>335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 ht="14.25" customHeight="1">
      <c r="A63" s="202" t="s">
        <v>336</v>
      </c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 ht="14.2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 ht="14.2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 ht="14.25" customHeight="1">
      <c r="A66" s="202" t="s">
        <v>337</v>
      </c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 ht="14.25" customHeight="1">
      <c r="A67" s="202" t="s">
        <v>5</v>
      </c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 ht="14.25" customHeight="1">
      <c r="A68" s="202" t="s">
        <v>221</v>
      </c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 ht="14.25" customHeight="1">
      <c r="A69" s="202" t="s">
        <v>223</v>
      </c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 ht="14.2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 ht="14.2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 ht="14.2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 ht="14.2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 ht="14.2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 ht="14.2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 ht="14.2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 ht="14.2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 ht="14.2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 ht="14.2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 ht="14.2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 ht="14.2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 ht="14.2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 ht="14.2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 ht="14.2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 ht="14.2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 ht="14.2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 ht="14.2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 ht="14.2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 ht="14.2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 ht="14.2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 ht="14.2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 ht="14.2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 ht="14.2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 ht="14.2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 ht="14.2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 ht="14.2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 ht="14.2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 ht="14.2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 ht="14.2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 ht="14.2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 ht="14.2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 ht="14.2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 ht="14.2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 ht="14.2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 ht="14.2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 ht="14.2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 ht="14.2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 ht="14.2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 ht="14.2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 ht="14.2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 ht="14.2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 ht="14.2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 ht="14.2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 ht="14.2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 ht="14.2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 ht="14.2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 ht="14.2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 ht="14.2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 ht="14.2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 ht="14.2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 ht="14.2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 ht="14.2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 ht="14.2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 ht="14.2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 ht="14.2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 ht="14.2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 ht="14.2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 ht="14.2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 ht="14.2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 ht="14.2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 ht="14.2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 ht="14.2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 ht="14.2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 ht="14.2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 ht="14.2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 ht="14.2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 ht="14.2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 ht="14.2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 ht="14.2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 ht="14.2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 ht="14.2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 ht="14.2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 ht="14.2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 ht="14.2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 ht="14.2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 ht="14.2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 ht="14.2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 ht="14.2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 ht="14.2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 ht="14.2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 ht="14.2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 ht="14.2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 ht="14.2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 ht="14.2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 ht="14.2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 ht="14.2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 ht="14.2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 ht="14.2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 ht="14.2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 ht="14.2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 ht="14.2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 ht="14.2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 ht="14.2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 ht="14.2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 ht="14.2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 ht="14.2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 ht="14.2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 ht="14.2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 ht="14.2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 ht="14.2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 ht="14.2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 ht="14.2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 ht="14.2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 ht="14.2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 ht="14.2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 ht="14.2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 ht="14.2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 ht="14.2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 ht="14.2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 ht="14.2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 ht="14.2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 ht="14.2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 ht="14.2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 ht="14.2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 ht="14.2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 ht="14.2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 ht="14.2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 ht="14.2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 ht="14.2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 ht="14.2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 ht="14.2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 ht="14.2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 ht="14.2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 ht="14.2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 ht="14.2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 ht="14.2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 ht="14.2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 ht="14.2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 ht="14.2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 ht="14.2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 ht="14.2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 ht="14.2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 ht="14.2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 ht="14.2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 ht="14.2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 ht="14.2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 ht="14.2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 ht="14.2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 ht="14.2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 ht="14.2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 ht="14.2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 ht="14.2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 ht="14.2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 ht="14.2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 ht="14.2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 ht="14.2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 ht="14.2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 ht="14.2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 ht="14.2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 ht="14.2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 ht="14.2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 ht="14.2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 ht="14.2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 ht="14.2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 ht="14.2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 ht="14.2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 ht="14.2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 ht="14.2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 ht="14.2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 ht="14.2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 ht="14.2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 ht="14.2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 ht="14.2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 ht="14.2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 ht="14.2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 ht="14.2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 ht="14.2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 ht="14.2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 ht="14.2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 ht="14.2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 ht="14.2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 ht="14.2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 ht="14.2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 ht="14.2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 ht="14.2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 ht="14.2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 ht="14.2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 ht="14.2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 ht="14.2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 ht="14.2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 ht="14.2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 ht="14.2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 ht="14.2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 ht="14.2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 ht="14.2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 ht="14.2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 ht="14.2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 ht="14.2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 ht="14.2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 ht="14.2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 ht="14.2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 ht="14.2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 ht="14.2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 ht="14.2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 ht="14.2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 ht="14.2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 ht="14.2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 ht="14.2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 ht="14.2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 ht="14.2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 ht="14.2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 ht="14.2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 ht="14.2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 ht="14.2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 ht="14.2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 ht="14.2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 ht="14.2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 ht="14.2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 ht="14.2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 ht="14.2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 ht="14.2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 ht="14.2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 ht="14.2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 ht="14.2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 ht="14.2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 ht="14.2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 ht="14.2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 ht="14.2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 ht="14.2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 ht="14.2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 ht="14.2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 ht="14.2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 ht="14.2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 ht="14.2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 ht="14.2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 ht="14.2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 ht="14.2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 ht="14.2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 ht="14.2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 ht="14.2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 ht="14.2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 ht="14.2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 ht="14.2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 ht="14.2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 ht="14.2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 ht="14.2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 ht="14.2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 ht="14.2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 ht="14.2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 ht="14.2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 ht="14.2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 ht="14.2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 ht="14.2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 ht="14.2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 ht="14.2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 ht="14.2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 ht="14.2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 ht="14.2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 ht="14.2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 ht="14.2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 ht="14.2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 ht="14.2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 ht="14.2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 ht="14.2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 ht="14.2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 ht="14.2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 ht="14.2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 ht="14.2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 ht="14.2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 ht="14.2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 ht="14.2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 ht="14.2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 ht="14.2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 ht="14.2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 ht="14.2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 ht="14.2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 ht="14.2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 ht="14.2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 ht="14.2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 ht="14.2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 ht="14.2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 ht="14.2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 ht="14.2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 ht="14.2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 ht="14.2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 ht="14.2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 ht="14.2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 ht="14.2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 ht="14.2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 ht="14.2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 ht="14.2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 ht="14.2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 ht="14.2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 ht="14.2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 ht="14.2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 ht="14.2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 ht="14.2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 ht="14.2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 ht="14.2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 ht="14.2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 ht="14.2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 ht="14.2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 ht="14.2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 ht="14.2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 ht="14.2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 ht="14.2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 ht="14.2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 ht="14.2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 ht="14.2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 ht="14.2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 ht="14.2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 ht="14.2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 ht="14.2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 ht="14.2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 ht="14.2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 ht="14.2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 ht="14.2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 ht="14.2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 ht="14.2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 ht="14.2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 ht="14.2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 ht="14.2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 ht="14.2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 ht="14.2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 ht="14.2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 ht="14.2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 ht="14.2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 ht="14.2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 ht="14.2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 ht="14.2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 ht="14.2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 ht="14.2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 ht="14.2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 ht="14.2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 ht="14.2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 ht="14.2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 ht="14.2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 ht="14.2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 ht="14.2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 ht="14.2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 ht="14.2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 ht="14.2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 ht="14.2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 ht="14.2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 ht="14.2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 ht="14.2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 ht="14.2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 ht="14.2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 ht="14.2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 ht="14.2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 ht="14.2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 ht="14.2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 ht="14.2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 ht="14.2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 ht="14.2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 ht="14.2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 ht="14.2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ht="14.2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 ht="14.2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ht="14.2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 ht="14.2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ht="14.2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 ht="14.2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ht="14.2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 ht="14.2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 ht="14.2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 ht="14.2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 ht="14.2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 ht="14.2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 ht="14.2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 ht="14.2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 ht="14.2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 ht="14.2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 ht="14.2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 ht="14.2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 ht="14.2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 ht="14.2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 ht="14.2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 ht="14.2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 ht="14.2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 ht="14.2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 ht="14.2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 ht="14.2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 ht="14.2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 ht="14.2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 ht="14.2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 ht="14.2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 ht="14.2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 ht="14.2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 ht="14.2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 ht="14.2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 ht="14.2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 ht="14.2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 ht="14.2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 ht="14.2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 ht="14.2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 ht="14.2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 ht="14.2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 ht="14.2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 ht="14.2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 ht="14.2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 ht="14.2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 ht="14.2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 ht="14.2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 ht="14.2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 ht="14.2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 ht="14.2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 ht="14.2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 ht="14.2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 ht="14.2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 ht="14.2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 ht="14.2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 ht="14.2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 ht="14.2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 ht="14.2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 ht="14.2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 ht="14.2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 ht="14.2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 ht="14.2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 ht="14.2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 ht="14.2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 ht="14.2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 ht="14.2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 ht="14.2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 ht="14.2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 ht="14.2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 ht="14.2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 ht="14.2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 ht="14.2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 ht="14.2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 ht="14.2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 ht="14.2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 ht="14.2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 ht="14.2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 ht="14.2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 ht="14.2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 ht="14.2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 ht="14.2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 ht="14.2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 ht="14.2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 ht="14.2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 ht="14.2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 ht="14.2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 ht="14.2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 ht="14.2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 ht="14.2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 ht="14.2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 ht="14.2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 ht="14.2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 ht="14.2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 ht="14.2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 ht="14.2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 ht="14.2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 ht="14.2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 ht="14.2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 ht="14.2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 ht="14.2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 ht="14.2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 ht="14.2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 ht="14.2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 ht="14.2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 ht="14.2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 ht="14.2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 ht="14.2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 ht="14.2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 ht="14.2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 ht="14.2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 ht="14.2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 ht="14.2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 ht="14.2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 ht="14.2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 ht="14.2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 ht="14.2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 ht="14.2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 ht="14.2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 ht="14.2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 ht="14.2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 ht="14.2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 ht="14.2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 ht="14.2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 ht="14.2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 ht="14.2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 ht="14.2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 ht="14.2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 ht="14.2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 ht="14.2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 ht="14.2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 ht="14.2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 ht="14.2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 ht="14.2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 ht="14.2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 ht="14.2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 ht="14.2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 ht="14.2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 ht="14.2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 ht="14.2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 ht="14.2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 ht="14.2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 ht="14.2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 ht="14.2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 ht="14.2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 ht="14.2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 ht="14.2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 ht="14.2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 ht="14.2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 ht="14.2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 ht="14.2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 ht="14.2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 ht="14.2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 ht="14.2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 ht="14.2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 ht="14.2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 ht="14.2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 ht="14.2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 ht="14.2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 ht="14.2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 ht="14.2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 ht="14.2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 ht="14.2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 ht="14.2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 ht="14.2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 ht="14.2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 ht="14.2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 ht="14.2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 ht="14.2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 ht="14.2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 ht="14.2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 ht="14.2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 ht="14.2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 ht="14.2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 ht="14.2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 ht="14.2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 ht="14.2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 ht="14.2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 ht="14.2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 ht="14.2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 ht="14.2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 ht="14.2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 ht="14.2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 ht="14.2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 ht="14.2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 ht="14.2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 ht="14.2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 ht="14.2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 ht="14.2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 ht="14.2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 ht="14.2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 ht="14.2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 ht="14.2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 ht="14.2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 ht="14.2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 ht="14.2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 ht="14.2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 ht="14.2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 ht="14.2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 ht="14.2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 ht="14.2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 ht="14.2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 ht="14.2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 ht="14.2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 ht="14.2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 ht="14.2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 ht="14.2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 ht="14.2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 ht="14.2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 ht="14.2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 ht="14.2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 ht="14.2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 ht="14.2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 ht="14.2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 ht="14.2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 ht="14.2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 ht="14.2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 ht="14.2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 ht="14.2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 ht="14.2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 ht="14.2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 ht="14.2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 ht="14.2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 ht="14.2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 ht="14.2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 ht="14.2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 ht="14.2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 ht="14.2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 ht="14.2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 ht="14.2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 ht="14.2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 ht="14.2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 ht="14.2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 ht="14.2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 ht="14.2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 ht="14.2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 ht="14.2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 ht="14.2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 ht="14.2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 ht="14.2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 ht="14.2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 ht="14.2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 ht="14.2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 ht="14.2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 ht="14.2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 ht="14.2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 ht="14.2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 ht="14.2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 ht="14.2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 ht="14.2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 ht="14.2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 ht="14.2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 ht="14.2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 ht="14.2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 ht="14.2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 ht="14.2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 ht="14.2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 ht="14.2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 ht="14.2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 ht="14.2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 ht="14.2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 ht="14.2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 ht="14.2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 ht="14.2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 ht="14.2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 ht="14.2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 ht="14.2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 ht="14.2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 ht="14.2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 ht="14.2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 ht="14.2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 ht="14.2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 ht="14.2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 ht="14.2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 ht="14.2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 ht="14.2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 ht="14.2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 ht="14.2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 ht="14.2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 ht="14.2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 ht="14.2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 ht="14.2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 ht="14.2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 ht="14.2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 ht="14.2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 ht="14.2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 ht="14.2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 ht="14.2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 ht="14.2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 ht="14.2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 ht="14.2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 ht="14.2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 ht="14.2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 ht="14.2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 ht="14.2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 ht="14.2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 ht="14.2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 ht="14.2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 ht="14.2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 ht="14.2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 ht="14.2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 ht="14.2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 ht="14.2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 ht="14.2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 ht="14.2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 ht="14.2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 ht="14.2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 ht="14.2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 ht="14.2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 ht="14.2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 ht="14.2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 ht="14.2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 ht="14.2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 ht="14.2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 ht="14.2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 ht="14.2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 ht="14.2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 ht="14.2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 ht="14.2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 ht="14.2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 ht="14.2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 ht="14.2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 ht="14.2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 ht="14.2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 ht="14.2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 ht="14.2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 ht="14.2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 ht="14.2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 ht="14.2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 ht="14.2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 ht="14.2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 ht="14.2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 ht="14.2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 ht="14.2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 ht="14.2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 ht="14.2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 ht="14.2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 ht="14.2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 ht="14.2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 ht="14.2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 ht="14.2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 ht="14.2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 ht="14.2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 ht="14.2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 ht="14.2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 ht="14.2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 ht="14.2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 ht="14.2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 ht="14.2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 ht="14.2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 ht="14.2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 ht="14.2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 ht="14.2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 ht="14.2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 ht="14.2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 ht="14.2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 ht="14.2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 ht="14.2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 ht="14.2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 ht="14.2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 ht="14.2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 ht="14.2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 ht="14.2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 ht="14.2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 ht="14.2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 ht="14.2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 ht="14.2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 ht="14.2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 ht="14.2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 ht="14.2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 ht="14.2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 ht="14.2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 ht="14.2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 ht="14.2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 ht="14.2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 ht="14.2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 ht="14.2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 ht="14.2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 ht="14.2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 ht="14.2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 ht="14.2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 ht="14.2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 ht="14.2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 ht="14.2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 ht="14.2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 ht="14.2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 ht="14.2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 ht="14.2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 ht="14.2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 ht="14.2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 ht="14.2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 ht="14.2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 ht="14.2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 ht="14.2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 ht="14.2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 ht="14.2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 ht="14.2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 ht="14.2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 ht="14.2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 ht="14.2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 ht="14.2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 ht="14.2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 ht="14.2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 ht="14.2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 ht="14.2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 ht="14.2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 ht="14.2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 ht="14.2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 ht="14.2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 ht="14.2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 ht="14.2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 ht="14.2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 ht="14.2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 ht="14.2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 ht="14.2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 ht="14.2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 ht="14.2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 ht="14.2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 ht="14.2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 ht="14.2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 ht="14.2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 ht="14.2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 ht="14.2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 ht="14.2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 ht="14.2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 ht="14.2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 ht="14.2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 ht="14.2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 ht="14.2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 ht="14.2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 ht="14.2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 ht="14.2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 ht="14.2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 ht="14.2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 ht="14.2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 ht="14.2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 ht="14.2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 ht="14.2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 ht="14.2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 ht="14.2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 ht="14.2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 ht="14.2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 ht="14.2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 ht="14.2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 ht="14.2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 ht="14.2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 ht="14.2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 ht="14.2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 ht="14.2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 ht="14.2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 ht="14.2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 ht="14.2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 ht="14.2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 ht="14.2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 ht="14.2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 ht="14.2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 ht="14.2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 ht="14.2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 ht="14.2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 ht="14.2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 ht="14.2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 ht="14.2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 ht="14.2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 ht="14.2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 ht="14.2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 ht="14.2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 ht="14.2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 ht="14.2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 ht="14.2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 ht="14.2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 ht="14.2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 ht="14.2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 ht="14.2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 ht="14.2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 ht="14.2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 ht="14.2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 ht="14.2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 ht="14.2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 ht="14.2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 ht="14.2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 ht="14.2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 ht="14.2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 ht="14.2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 ht="14.2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 ht="14.2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 ht="14.2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 ht="14.2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 ht="14.2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 ht="14.2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 ht="14.2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 ht="14.2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 ht="14.2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 ht="14.2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 ht="14.2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 ht="14.2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 ht="14.2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 ht="14.2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 ht="14.2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 ht="14.25" customHeight="1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 ht="14.25" customHeight="1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 ht="14.25" customHeight="1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 ht="14.25" customHeight="1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 ht="14.25" customHeight="1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 ht="14.25" customHeight="1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 ht="14.25" customHeight="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 ht="14.25" customHeight="1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 ht="14.25" customHeight="1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 ht="14.25" customHeight="1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 ht="14.25" customHeight="1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 ht="14.25" customHeight="1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 ht="14.25" customHeight="1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 ht="14.25" customHeight="1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 ht="14.25" customHeight="1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 ht="14.25" customHeight="1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 ht="14.25" customHeight="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 ht="14.25" customHeight="1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 ht="14.25" customHeight="1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 ht="14.25" customHeight="1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 ht="14.25" customHeight="1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 ht="14.25" customHeight="1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 ht="14.25" customHeight="1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 ht="14.25" customHeight="1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 ht="14.25" customHeight="1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 ht="14.25" customHeight="1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 ht="14.25" customHeight="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 ht="14.25" customHeight="1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 ht="14.25" customHeight="1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 ht="14.25" customHeight="1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 ht="14.25" customHeight="1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 ht="14.25" customHeight="1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 ht="14.25" customHeight="1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 ht="14.25" customHeight="1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 ht="14.25" customHeight="1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 ht="14.25" customHeight="1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 ht="14.25" customHeight="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 ht="14.25" customHeight="1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 ht="14.25" customHeight="1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 ht="14.25" customHeight="1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 ht="14.25" customHeight="1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 ht="14.25" customHeight="1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 ht="14.25" customHeight="1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 ht="14.25" customHeight="1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 ht="14.25" customHeight="1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 ht="14.25" customHeight="1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 ht="14.25" customHeight="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 ht="14.25" customHeight="1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 ht="14.25" customHeight="1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 ht="14.25" customHeight="1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 ht="14.25" customHeight="1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 ht="14.25" customHeight="1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 ht="14.25" customHeight="1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 ht="14.25" customHeight="1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 ht="14.25" customHeight="1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 ht="14.25" customHeight="1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 ht="14.25" customHeight="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 ht="14.25" customHeight="1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 ht="14.25" customHeight="1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 ht="14.25" customHeight="1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 ht="14.25" customHeight="1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 ht="14.25" customHeight="1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 ht="14.25" customHeight="1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 ht="14.25" customHeight="1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 ht="14.25" customHeight="1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 ht="14.25" customHeight="1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 ht="14.25" customHeight="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 ht="14.25" customHeight="1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 ht="14.25" customHeight="1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 ht="14.25" customHeight="1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</sheetData>
  <hyperlinks>
    <hyperlink r:id="rId1" ref="G41"/>
    <hyperlink r:id="rId2" ref="G46"/>
  </hyperlinks>
  <printOptions/>
  <pageMargins bottom="0.7480314960629921" footer="0.0" header="0.0" left="0.7086614173228347" right="0.35433070866141736" top="0.7480314960629921"/>
  <pageSetup fitToHeight="0" paperSize="9" orientation="portrait"/>
  <drawing r:id="rId3"/>
</worksheet>
</file>