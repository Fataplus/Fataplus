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" sheetId="1" r:id="rId4"/>
    <sheet state="visible" name="Lignes Activités" sheetId="2" r:id="rId5"/>
  </sheets>
  <definedNames>
    <definedName hidden="1" localSheetId="1" name="_xlnm._FilterDatabase">'Lignes Activités'!$A$1:$E$228</definedName>
  </definedNames>
  <calcPr/>
  <extLst>
    <ext uri="GoogleSheetsCustomDataVersion2">
      <go:sheetsCustomData xmlns:go="http://customooxmlschemas.google.com/" r:id="rId6" roundtripDataChecksum="MYEdJbK7GxqBaGqrAd2YJiaLAZMhegkrr4ToFVT46vo="/>
    </ext>
  </extLst>
</workbook>
</file>

<file path=xl/sharedStrings.xml><?xml version="1.0" encoding="utf-8"?>
<sst xmlns="http://schemas.openxmlformats.org/spreadsheetml/2006/main" count="1212" uniqueCount="493">
  <si>
    <t>Ressource</t>
  </si>
  <si>
    <t>Code projet</t>
  </si>
  <si>
    <t>Projet</t>
  </si>
  <si>
    <t>Profil</t>
  </si>
  <si>
    <t>S19</t>
  </si>
  <si>
    <t>S21</t>
  </si>
  <si>
    <t>S22</t>
  </si>
  <si>
    <t>TOTAL</t>
  </si>
  <si>
    <t>Commentaires</t>
  </si>
  <si>
    <t>QUALITE</t>
  </si>
  <si>
    <t>FANOMEZANIRINA Fenohery</t>
  </si>
  <si>
    <t>_Absences</t>
  </si>
  <si>
    <t>FATAPLUS</t>
  </si>
  <si>
    <t>_INT_AV</t>
  </si>
  <si>
    <t>_INT_Formation</t>
  </si>
  <si>
    <t>_INT_Pôle</t>
  </si>
  <si>
    <t>_Inter Contrat</t>
  </si>
  <si>
    <t>RAVO NAMBININA Ny Aina Hermisa</t>
  </si>
  <si>
    <t>CP-TOGO-NOVISSI</t>
  </si>
  <si>
    <t>CP-TELMA-BONDY</t>
  </si>
  <si>
    <t>SOLOFONIRINA Mahefa Sumario</t>
  </si>
  <si>
    <t xml:space="preserve">Fenohery FANOMEZANIRINA </t>
  </si>
  <si>
    <t>IED</t>
  </si>
  <si>
    <t>Code Projet</t>
  </si>
  <si>
    <t>Client</t>
  </si>
  <si>
    <t>TimeSheet Groupe</t>
  </si>
  <si>
    <t>Type</t>
  </si>
  <si>
    <t>Saisie</t>
  </si>
  <si>
    <t>Absences (CP, CSS, CM, Liberté Préavis, Récup, …)</t>
  </si>
  <si>
    <t>PULSE</t>
  </si>
  <si>
    <t>Absences</t>
  </si>
  <si>
    <t>NON</t>
  </si>
  <si>
    <t>INT_Avant Vente</t>
  </si>
  <si>
    <t>INT_Formation</t>
  </si>
  <si>
    <t>INT_Pôle (AV, RH, Formation, …)</t>
  </si>
  <si>
    <t>Inter Contrat</t>
  </si>
  <si>
    <t>InterContrat</t>
  </si>
  <si>
    <t>_PULSE-COM</t>
  </si>
  <si>
    <t>Communication Pulse</t>
  </si>
  <si>
    <t>_PULSE-EAE-Liferay</t>
  </si>
  <si>
    <t>EAE Liferay</t>
  </si>
  <si>
    <t>_PULSE-EXPLOITATION</t>
  </si>
  <si>
    <t>Exploitation PULSE</t>
  </si>
  <si>
    <t>_PULSE-JENKINS</t>
  </si>
  <si>
    <t>Intégration continue</t>
  </si>
  <si>
    <t>_PULSE-OA</t>
  </si>
  <si>
    <t>Office Automation PULSE</t>
  </si>
  <si>
    <t>_PULSE-SECU</t>
  </si>
  <si>
    <t>SECU PULSE</t>
  </si>
  <si>
    <t>_PULSE-SI</t>
  </si>
  <si>
    <t>SI PULSE</t>
  </si>
  <si>
    <t>_PULSE-SITE</t>
  </si>
  <si>
    <t>Site PULSE</t>
  </si>
  <si>
    <t>AMP LIMPIDE</t>
  </si>
  <si>
    <t>LIMPIDE</t>
  </si>
  <si>
    <t>Externe</t>
  </si>
  <si>
    <t xml:space="preserve">BARTH01248/BARTH68981
</t>
  </si>
  <si>
    <t>Bathélémy</t>
  </si>
  <si>
    <t>Barthélémy</t>
  </si>
  <si>
    <t>BASAN31949/BlackPearl V2</t>
  </si>
  <si>
    <t>BlackPearl V2</t>
  </si>
  <si>
    <t>BASAN</t>
  </si>
  <si>
    <t>BASAN38654/TMA HERMES-BP</t>
  </si>
  <si>
    <t>TMA Hermes/BP</t>
  </si>
  <si>
    <t xml:space="preserve">BFM001151/BFM79200
</t>
  </si>
  <si>
    <t>Site Internet</t>
  </si>
  <si>
    <t>BFM</t>
  </si>
  <si>
    <t>BLUESOLUTIONHP</t>
  </si>
  <si>
    <t>BLUESOLUTION EVOLUTION HOMEPAGE</t>
  </si>
  <si>
    <t>BLUESOLUTION</t>
  </si>
  <si>
    <t>BNI001114/BNI8574 RFP FORCE NOMADE LOT1A</t>
  </si>
  <si>
    <t>Force Nomade LOT1A</t>
  </si>
  <si>
    <t>BNI</t>
  </si>
  <si>
    <t>BNI001114/BNI8574 RFP FORCE NOMADE LOT1B</t>
  </si>
  <si>
    <t>Force Nomade LOT1B</t>
  </si>
  <si>
    <t>BNI113084/TMA</t>
  </si>
  <si>
    <t>BNI TMA CORRECTIVE FANASA - ARINDRA</t>
  </si>
  <si>
    <t>BNI190877/EVOLARINDRA</t>
  </si>
  <si>
    <t>BNI TMA EVOLUTIVE ARINDRA</t>
  </si>
  <si>
    <t>BNI190878/EVOLFANASA</t>
  </si>
  <si>
    <t>BNI TMA EVOLUTIVE FANASA</t>
  </si>
  <si>
    <t>BNI191134/FIHARINA</t>
  </si>
  <si>
    <t>FIHARIANA</t>
  </si>
  <si>
    <t>CNP001299/CNP82303</t>
  </si>
  <si>
    <t>CNP</t>
  </si>
  <si>
    <t>CNP Luxembourg</t>
  </si>
  <si>
    <t>CP-ASS-AUDIT</t>
  </si>
  <si>
    <t>AXIAN-Contrôle permanent</t>
  </si>
  <si>
    <t>ASS</t>
  </si>
  <si>
    <t>Groupe</t>
  </si>
  <si>
    <t>OUI</t>
  </si>
  <si>
    <t>CP-ASS-CHARLIE</t>
  </si>
  <si>
    <t>CHARLIE</t>
  </si>
  <si>
    <t>CP-ASS-CT EXP</t>
  </si>
  <si>
    <t>EXP ASS</t>
  </si>
  <si>
    <t>CP-ASS-CT OA</t>
  </si>
  <si>
    <t>OA ASS</t>
  </si>
  <si>
    <t>CP-ASS-CT SECU</t>
  </si>
  <si>
    <t>SECU ASS</t>
  </si>
  <si>
    <t>CP-ASS-DWH_TOGO</t>
  </si>
  <si>
    <t>DWH TOGO</t>
  </si>
  <si>
    <t>CP-ASS-FONDATIONH</t>
  </si>
  <si>
    <t>Fondation H</t>
  </si>
  <si>
    <t>CP-ASS-INTRAPRE</t>
  </si>
  <si>
    <t>Site Intrapreneuriat</t>
  </si>
  <si>
    <t>CP-ASS-MOODLE</t>
  </si>
  <si>
    <t>ATC MOODLE</t>
  </si>
  <si>
    <t>CP-ASS-MRU</t>
  </si>
  <si>
    <t>SIFI Maurice</t>
  </si>
  <si>
    <t>CP-ASS-OGC</t>
  </si>
  <si>
    <t>OGC ASS</t>
  </si>
  <si>
    <t>CP-ASS-OUTLOOK</t>
  </si>
  <si>
    <t>Outlook Tools</t>
  </si>
  <si>
    <t>CP-ASS-PATRIMOINE</t>
  </si>
  <si>
    <t>Patrimoine Foncier</t>
  </si>
  <si>
    <t>CP-ASS-PCA</t>
  </si>
  <si>
    <t>PCA</t>
  </si>
  <si>
    <t>CP-ASS-PREVISOFT</t>
  </si>
  <si>
    <t>PREVISOFT</t>
  </si>
  <si>
    <t>CP-ASS-QUEOVAL</t>
  </si>
  <si>
    <t>ATC QUEOVAL</t>
  </si>
  <si>
    <t>CP-ASS-RVR</t>
  </si>
  <si>
    <t>RVR PARAD</t>
  </si>
  <si>
    <t>CP-ASS-SICO</t>
  </si>
  <si>
    <t>Outils collaboratifs</t>
  </si>
  <si>
    <t>CP-ASS-SIFI</t>
  </si>
  <si>
    <t>SIFI MCO CSP</t>
  </si>
  <si>
    <t>CP-ASS-SITE WEB V2</t>
  </si>
  <si>
    <t>Site Web Axian v2</t>
  </si>
  <si>
    <t>CP-ASS-SITERECRUTEMENT</t>
  </si>
  <si>
    <t>Site de recrutement</t>
  </si>
  <si>
    <t>CP-ASS-SULLY</t>
  </si>
  <si>
    <t>Suivi Litiges</t>
  </si>
  <si>
    <t>CP-ASS-TOGO</t>
  </si>
  <si>
    <t>TOGO</t>
  </si>
  <si>
    <t>CP-BNI-METIS</t>
  </si>
  <si>
    <t>Métis</t>
  </si>
  <si>
    <t>CP-BNI-REGIE</t>
  </si>
  <si>
    <t>REGIE</t>
  </si>
  <si>
    <t>CP-BNI-SECU</t>
  </si>
  <si>
    <t>Expert BNI</t>
  </si>
  <si>
    <t>CP-CHAPUIS-CT</t>
  </si>
  <si>
    <t>Assistance technique du Cabinet CHAPUIS</t>
  </si>
  <si>
    <t>CHAPUIS</t>
  </si>
  <si>
    <t>CP-CNTO-CT EXP</t>
  </si>
  <si>
    <t>EXP CNTO</t>
  </si>
  <si>
    <t>CONNECTEO</t>
  </si>
  <si>
    <t>CP-CNTO-CT OA</t>
  </si>
  <si>
    <t>OA CNTO</t>
  </si>
  <si>
    <t>CP-CNTO-CT SECU</t>
  </si>
  <si>
    <t>SECU CNTO</t>
  </si>
  <si>
    <t>CP-CNTO-EMAGAZINE</t>
  </si>
  <si>
    <t>E Magazine</t>
  </si>
  <si>
    <t>CP-CNTO-SITE</t>
  </si>
  <si>
    <t>Site Connecteo</t>
  </si>
  <si>
    <t>CP-EDM-AUDIT</t>
  </si>
  <si>
    <t>AUDIT EDM</t>
  </si>
  <si>
    <t>EDM</t>
  </si>
  <si>
    <t>CP-EDM-BDRH</t>
  </si>
  <si>
    <t>BDRH V2</t>
  </si>
  <si>
    <t>CP-EDM-CT EXP</t>
  </si>
  <si>
    <t>EXP EDM</t>
  </si>
  <si>
    <t>CP-EDM-CT OA</t>
  </si>
  <si>
    <t>OA EDM</t>
  </si>
  <si>
    <t>CP-EDM-CT SECU</t>
  </si>
  <si>
    <t>SECU EDM</t>
  </si>
  <si>
    <t>CP-EDM-ELIBRARY</t>
  </si>
  <si>
    <t>E-Library</t>
  </si>
  <si>
    <t>CP-EDM-FDM</t>
  </si>
  <si>
    <t>FDM</t>
  </si>
  <si>
    <t>CP-EDM-FLEET</t>
  </si>
  <si>
    <t>FLEET</t>
  </si>
  <si>
    <t>CP-EDM-FNC</t>
  </si>
  <si>
    <t>FNC</t>
  </si>
  <si>
    <t>CP-EDM-GALAXY</t>
  </si>
  <si>
    <t>Galaxy</t>
  </si>
  <si>
    <t>CP-EDM-OGC</t>
  </si>
  <si>
    <t>OGC EDM</t>
  </si>
  <si>
    <t>CP-EDM-QT</t>
  </si>
  <si>
    <t>QualiTools</t>
  </si>
  <si>
    <t>CP-EDM-PCA</t>
  </si>
  <si>
    <t>CP-EDM-SCORECARD</t>
  </si>
  <si>
    <t>ScoreCard</t>
  </si>
  <si>
    <t>CP-EDM-SICO</t>
  </si>
  <si>
    <t>CP-EDM-SITE</t>
  </si>
  <si>
    <t>Site EDM</t>
  </si>
  <si>
    <t>CP-EDM-TBC</t>
  </si>
  <si>
    <t>Tableaux de bord de conception</t>
  </si>
  <si>
    <t>CP-EDM-TBQ ET BDI</t>
  </si>
  <si>
    <t>Automatisation des TDB Qualité</t>
  </si>
  <si>
    <t>CP-EDM-WORKTOOLS</t>
  </si>
  <si>
    <t>GALAXY - WORKTOOLS</t>
  </si>
  <si>
    <t>CP-FIMMO-C-FOR-CASH</t>
  </si>
  <si>
    <t>C FOR CASH</t>
  </si>
  <si>
    <t>FIMMO</t>
  </si>
  <si>
    <t>CP-FIMMO-CSP</t>
  </si>
  <si>
    <t>APOLLO</t>
  </si>
  <si>
    <t>CP-FIMMO-CT EXP</t>
  </si>
  <si>
    <t>EXP FIMMO</t>
  </si>
  <si>
    <t>CP-EDM-GMAO</t>
  </si>
  <si>
    <t>GMAO</t>
  </si>
  <si>
    <t>CP-FIMMO-CT OA</t>
  </si>
  <si>
    <t>OA FIMMO</t>
  </si>
  <si>
    <t>CP-FIMMO-CT SECU</t>
  </si>
  <si>
    <t>SECU FIMMO</t>
  </si>
  <si>
    <t>CP-FIMMO-DC</t>
  </si>
  <si>
    <t>DC FIMMO</t>
  </si>
  <si>
    <t>CP-FIMMO-ESUPPLY</t>
  </si>
  <si>
    <t>E-Supply</t>
  </si>
  <si>
    <t>CP-FIMMO-LIMESURVEY</t>
  </si>
  <si>
    <t>GALAXY-LIMESURVEY</t>
  </si>
  <si>
    <t>CP-FIMMO-LOCIMMO</t>
  </si>
  <si>
    <t>LocImmo</t>
  </si>
  <si>
    <t>CP-FIMMO-MAINTICKET</t>
  </si>
  <si>
    <t>MAINTICKET</t>
  </si>
  <si>
    <t>CP-FIMMO-PATRIMOINE</t>
  </si>
  <si>
    <t>GALAXY - PATRIMOINE FONCIER</t>
  </si>
  <si>
    <t>CP-FIMMO-PCA</t>
  </si>
  <si>
    <t>CP-FIMMO-REPORTING</t>
  </si>
  <si>
    <t>GALAXY - REPORTING</t>
  </si>
  <si>
    <t>CP-FIMMO-SICO</t>
  </si>
  <si>
    <t>CP-FIMMO-SUIVI COMPTEUR</t>
  </si>
  <si>
    <t>GALAXY - Suivi COMPTEUR JIRAMA</t>
  </si>
  <si>
    <t>CP-FIMMO-SUIVI IMPORT</t>
  </si>
  <si>
    <t>GALAXY - Suivi Import</t>
  </si>
  <si>
    <t>CP-FIMMO-TIMESHEET</t>
  </si>
  <si>
    <t>GALAXY - TIMESHEET</t>
  </si>
  <si>
    <t>CP-FIMMO-WORKTOOLS</t>
  </si>
  <si>
    <t>CP-GES-CT EXP</t>
  </si>
  <si>
    <t>EXP GES</t>
  </si>
  <si>
    <t>GES</t>
  </si>
  <si>
    <t>CP-GES-CT OA</t>
  </si>
  <si>
    <t>OA GES</t>
  </si>
  <si>
    <t>CP-GES-CT SECU</t>
  </si>
  <si>
    <t>SECU GES</t>
  </si>
  <si>
    <t>CP-IORS-CT EXP</t>
  </si>
  <si>
    <t>EXP IORS</t>
  </si>
  <si>
    <t>CP-IORS-CT OA</t>
  </si>
  <si>
    <t>OA IORS</t>
  </si>
  <si>
    <t>CP-IORS-CT SECU</t>
  </si>
  <si>
    <t>SECU IORS</t>
  </si>
  <si>
    <t>CP-IORS-SICO</t>
  </si>
  <si>
    <t>CP-JOVENA-BAYA</t>
  </si>
  <si>
    <t>BAYA JOVENA</t>
  </si>
  <si>
    <t>JOVENA</t>
  </si>
  <si>
    <t>CP-JOVENA-CT EXP</t>
  </si>
  <si>
    <t>EXP JOVENA</t>
  </si>
  <si>
    <t>CP-JOVENA-CT OA</t>
  </si>
  <si>
    <t>OA JOVENA</t>
  </si>
  <si>
    <t>CP-JOVENA-CT SECU</t>
  </si>
  <si>
    <t>SECU JOVENA</t>
  </si>
  <si>
    <t>CP-JOVENA-ODOO</t>
  </si>
  <si>
    <t>ODOO</t>
  </si>
  <si>
    <t>CP-JOVENA-OGC</t>
  </si>
  <si>
    <t>OGC</t>
  </si>
  <si>
    <t>CP-JOVENA-SICO</t>
  </si>
  <si>
    <t>SICO</t>
  </si>
  <si>
    <t>CP-SGEM-C-FOR-CASH</t>
  </si>
  <si>
    <t>SGEM</t>
  </si>
  <si>
    <t>CP-SGEM-CT EXP</t>
  </si>
  <si>
    <t>EXP SGEM</t>
  </si>
  <si>
    <t>CP-SGEM-CT OA</t>
  </si>
  <si>
    <t>OA SGEM</t>
  </si>
  <si>
    <t>CP-SGEM-CT SECU</t>
  </si>
  <si>
    <t>SECU SGEM</t>
  </si>
  <si>
    <t>CP-SGEM-EDL</t>
  </si>
  <si>
    <t>EDL</t>
  </si>
  <si>
    <t>CP-SGEM-NEXTA</t>
  </si>
  <si>
    <t>Next A</t>
  </si>
  <si>
    <t>CP-SGEM-PARKLIFE</t>
  </si>
  <si>
    <t>ParkLife</t>
  </si>
  <si>
    <t>CP-TELCO-CT EXP</t>
  </si>
  <si>
    <t>EXP TELCO</t>
  </si>
  <si>
    <t>TELCO</t>
  </si>
  <si>
    <t>CP-TELCO-CT OA</t>
  </si>
  <si>
    <t>OA TELCO</t>
  </si>
  <si>
    <t>CP-TELCO-CT SECU</t>
  </si>
  <si>
    <t>SECU TELCO</t>
  </si>
  <si>
    <t>CP-TELCO-MACRO</t>
  </si>
  <si>
    <t>TELCO MONEY</t>
  </si>
  <si>
    <t>CP-TELCO-MONEY</t>
  </si>
  <si>
    <t>CP-TELCO-OGC</t>
  </si>
  <si>
    <t>OGC TELCO</t>
  </si>
  <si>
    <t>CP-TELCO-SIFI MCO</t>
  </si>
  <si>
    <t>MCO TELCO V7</t>
  </si>
  <si>
    <t>CP-TELCO-TELMAKM</t>
  </si>
  <si>
    <t>TELMA KM</t>
  </si>
  <si>
    <t>CP-TELMA E-Library</t>
  </si>
  <si>
    <t>TELMA</t>
  </si>
  <si>
    <t>CP-TELMA E-PANEL</t>
  </si>
  <si>
    <t>E-Panel</t>
  </si>
  <si>
    <t>CP-TELMA E-REQ</t>
  </si>
  <si>
    <t>E-Requisition</t>
  </si>
  <si>
    <t>CP-TELMA-ADVS</t>
  </si>
  <si>
    <t>ADVS</t>
  </si>
  <si>
    <t>BONDY</t>
  </si>
  <si>
    <t>CP-TELMA-CAMPUS</t>
  </si>
  <si>
    <t>Minisite Campus</t>
  </si>
  <si>
    <t>CP-TELMA-CT EXP</t>
  </si>
  <si>
    <t>EXP TELMA</t>
  </si>
  <si>
    <t>CP-TELMA-CT OA</t>
  </si>
  <si>
    <t>OA TELMA</t>
  </si>
  <si>
    <t>CP-TELMA-CT SECU</t>
  </si>
  <si>
    <t>SECU TELMA</t>
  </si>
  <si>
    <t>CP-TELMA-DANDSOD</t>
  </si>
  <si>
    <t>DANDSOD</t>
  </si>
  <si>
    <t>CP-TELMA-DDR</t>
  </si>
  <si>
    <t>DDR</t>
  </si>
  <si>
    <t>CP-TELMA-EAE</t>
  </si>
  <si>
    <t>EAE</t>
  </si>
  <si>
    <t>CP-TELMA-ELIGIBILITEFIBRE</t>
  </si>
  <si>
    <t>Test éligibilité fibre</t>
  </si>
  <si>
    <t>CP-TELMA-FONDATIONAXIAN</t>
  </si>
  <si>
    <t>Fondation AXIAN</t>
  </si>
  <si>
    <t>CP-TELMA-GDA</t>
  </si>
  <si>
    <t>GDA</t>
  </si>
  <si>
    <t>CP-TELMA-GED</t>
  </si>
  <si>
    <t>GED</t>
  </si>
  <si>
    <t>CP-TELMA-JIRA</t>
  </si>
  <si>
    <t>JIRA LYNX</t>
  </si>
  <si>
    <t>CP-TELMA-LOGICAR</t>
  </si>
  <si>
    <t>Logicar</t>
  </si>
  <si>
    <t>CP-TELMA-LOGO-Fondation</t>
  </si>
  <si>
    <t>Logo Fondation Axian</t>
  </si>
  <si>
    <t>CP-TELMA-Mbalik</t>
  </si>
  <si>
    <t>Mbalik</t>
  </si>
  <si>
    <t>CP-TELMA-MEDIAPLANNING</t>
  </si>
  <si>
    <t>MEDIA PLANNING</t>
  </si>
  <si>
    <t>CP-TELMA-MOOV</t>
  </si>
  <si>
    <t>Moov</t>
  </si>
  <si>
    <t>CP-TELMA-MVOLA COMORES</t>
  </si>
  <si>
    <t>MVOLA COMORES</t>
  </si>
  <si>
    <t>CP-TELMA-OGC</t>
  </si>
  <si>
    <t>OGC TELMA</t>
  </si>
  <si>
    <t>CP-TELMA-OM</t>
  </si>
  <si>
    <t>OM</t>
  </si>
  <si>
    <t>CP-TELMA-ONGDEFI</t>
  </si>
  <si>
    <t>ONGDEFI</t>
  </si>
  <si>
    <t>CP-TELMA-PCA</t>
  </si>
  <si>
    <t>CP-TELMA-PDC</t>
  </si>
  <si>
    <t>PDC</t>
  </si>
  <si>
    <t>CP-TELMA-PREA</t>
  </si>
  <si>
    <t>LOHARANO</t>
  </si>
  <si>
    <t>CP-TELMA-QOE</t>
  </si>
  <si>
    <t>QOE</t>
  </si>
  <si>
    <t>CP-TELMA-RAFM</t>
  </si>
  <si>
    <t>DAIG - Audit TELMA-RAFM</t>
  </si>
  <si>
    <t>CP-TELMA-REBRANDING</t>
  </si>
  <si>
    <t>Rebranding applications Telma</t>
  </si>
  <si>
    <t>CP-TELMA-REPORTING RH</t>
  </si>
  <si>
    <t>REPORTING RH</t>
  </si>
  <si>
    <t>CP-TELMA-SAGE RH</t>
  </si>
  <si>
    <t>SAGE RH</t>
  </si>
  <si>
    <t>CP-TELMA-SECU</t>
  </si>
  <si>
    <t>EXPERT TELMA</t>
  </si>
  <si>
    <t>CP-TELMA-SELFCARE</t>
  </si>
  <si>
    <t>Selcare TELMA</t>
  </si>
  <si>
    <t>CP-TELMA-SICO</t>
  </si>
  <si>
    <t>CP-TELMA-SIFI ACC</t>
  </si>
  <si>
    <t>Accompagnement V5-V7 TELMA</t>
  </si>
  <si>
    <t>CP-TELMA-SIFI MCO</t>
  </si>
  <si>
    <t>MCO TELMA V5</t>
  </si>
  <si>
    <t>CP-TELMA-SITE</t>
  </si>
  <si>
    <t>Site TELMA</t>
  </si>
  <si>
    <t>CP-TELMA-SP MCO</t>
  </si>
  <si>
    <t>MCO SharePoint</t>
  </si>
  <si>
    <t>CP-TELMA-V7</t>
  </si>
  <si>
    <t>TELMA V7</t>
  </si>
  <si>
    <t>NOVISSI</t>
  </si>
  <si>
    <t>TOGO MTPEN</t>
  </si>
  <si>
    <t>CP-TOM-BAYA</t>
  </si>
  <si>
    <t>TOM BAYA X3</t>
  </si>
  <si>
    <t>TOM</t>
  </si>
  <si>
    <t>CP-TOM-CT EXP</t>
  </si>
  <si>
    <t>EXP TOM</t>
  </si>
  <si>
    <t>CP-TOM-CT OA</t>
  </si>
  <si>
    <t>OA TOM</t>
  </si>
  <si>
    <t>CP-TOM-CT SECU</t>
  </si>
  <si>
    <t>SECU TOM</t>
  </si>
  <si>
    <t>CP-TOM-GMAO</t>
  </si>
  <si>
    <t>CP-TOM-OGC</t>
  </si>
  <si>
    <t>OGC TOM</t>
  </si>
  <si>
    <t>CP-TOM-PCA</t>
  </si>
  <si>
    <t>CP-TOM-SIFI MCO</t>
  </si>
  <si>
    <t>MCO TOM X3</t>
  </si>
  <si>
    <t>CP-TOM-SITE</t>
  </si>
  <si>
    <t>SITE TOM</t>
  </si>
  <si>
    <t>CP-TRM-SIFI</t>
  </si>
  <si>
    <t>SIFI SAGE 1000</t>
  </si>
  <si>
    <t>TRM</t>
  </si>
  <si>
    <t>CP-WELIGHT-CT EXP</t>
  </si>
  <si>
    <t>EXP WELIGHT</t>
  </si>
  <si>
    <t>WELIGHT</t>
  </si>
  <si>
    <t>CP-WELIGHT-CT OA</t>
  </si>
  <si>
    <t>OA WELIGHT</t>
  </si>
  <si>
    <t>CP-WELIGHT-CT SECU</t>
  </si>
  <si>
    <t>SECU WELIGHT</t>
  </si>
  <si>
    <t>CP-WELIGHT-DWH</t>
  </si>
  <si>
    <t>DataWareHouse</t>
  </si>
  <si>
    <t>CP-WELIGHT-HELIOS</t>
  </si>
  <si>
    <t>HELIOS</t>
  </si>
  <si>
    <t>CP-WELIGHT-PCA</t>
  </si>
  <si>
    <t>CP-WELIGHT-SICO</t>
  </si>
  <si>
    <t>DYNS200263/SITE Evenementiel</t>
  </si>
  <si>
    <t>Site évènementiel</t>
  </si>
  <si>
    <t>DYNSCLUB</t>
  </si>
  <si>
    <t>DYNSC01195/DYNSC22397</t>
  </si>
  <si>
    <t>DYNSC73343</t>
  </si>
  <si>
    <t>EDUS78564</t>
  </si>
  <si>
    <t>ISCOM</t>
  </si>
  <si>
    <t>EDUSERVICES</t>
  </si>
  <si>
    <t>EDUS78945</t>
  </si>
  <si>
    <t>Performances et sécurité</t>
  </si>
  <si>
    <t>EDUS78955</t>
  </si>
  <si>
    <t>Enveloppe de jours Mai</t>
  </si>
  <si>
    <t>EDUS79655</t>
  </si>
  <si>
    <t>Enveloppe de jours Juin</t>
  </si>
  <si>
    <t>GMON39775/ACHATPUBFORMATION</t>
  </si>
  <si>
    <t>ACHATPUBLIC Formation</t>
  </si>
  <si>
    <t>ACHATPUBLIC</t>
  </si>
  <si>
    <t>HACH02955</t>
  </si>
  <si>
    <t>Enveloppe de jours</t>
  </si>
  <si>
    <t>HACHETTE</t>
  </si>
  <si>
    <t>HACH200369/Fluxcaviste</t>
  </si>
  <si>
    <t>Intégration flux cavistes</t>
  </si>
  <si>
    <t>INFOS191038/INFOSTAT-Enquete</t>
  </si>
  <si>
    <t>Module d'enquete en ligne</t>
  </si>
  <si>
    <t>INFOSTAT</t>
  </si>
  <si>
    <t>INFOS191039/TMA2019-2020</t>
  </si>
  <si>
    <t>TMA 2019-2020</t>
  </si>
  <si>
    <t>NINET01275/NINGR27415</t>
  </si>
  <si>
    <t>Refonte HTDS</t>
  </si>
  <si>
    <t>NINETEEN GROUPE</t>
  </si>
  <si>
    <t>NINGR190858/ZEBORNE</t>
  </si>
  <si>
    <t>Refonte site ZeBorne</t>
  </si>
  <si>
    <t>NINGR190920/TMAEQUINOV</t>
  </si>
  <si>
    <t>TMA EQUINOV</t>
  </si>
  <si>
    <t>NINGR190936/TMAHTDS</t>
  </si>
  <si>
    <t>TMA HTDS</t>
  </si>
  <si>
    <t>NINGR191054/TMAZANAKA</t>
  </si>
  <si>
    <t>TMA ZANAKA</t>
  </si>
  <si>
    <t>NINGR200118/REGIEHTDS</t>
  </si>
  <si>
    <t>Regie HTDS</t>
  </si>
  <si>
    <t>NINGR97997/PLN TMA</t>
  </si>
  <si>
    <t>TMA PLN</t>
  </si>
  <si>
    <t>ORANG200105/Advertising</t>
  </si>
  <si>
    <t>Refonte site Advertising</t>
  </si>
  <si>
    <t>ORANGE</t>
  </si>
  <si>
    <t>PAC001290/PAC1800104</t>
  </si>
  <si>
    <t>PAC TMA</t>
  </si>
  <si>
    <t>PAC</t>
  </si>
  <si>
    <t>PAC1800066</t>
  </si>
  <si>
    <t>PAC1900176</t>
  </si>
  <si>
    <t>PAC EVOLUTION RC30</t>
  </si>
  <si>
    <t>PAC1920180</t>
  </si>
  <si>
    <t>PAC EVOLUTION RC31</t>
  </si>
  <si>
    <t>SMOB75634</t>
  </si>
  <si>
    <t>TMA Smoby</t>
  </si>
  <si>
    <t>SMOBY TOYS</t>
  </si>
  <si>
    <t>STAR1800120</t>
  </si>
  <si>
    <t>Accompagnement SP</t>
  </si>
  <si>
    <t>BRASSERIES STAR MADAGASCAR</t>
  </si>
  <si>
    <t>STAR180120</t>
  </si>
  <si>
    <t>Accompagnement AMOA</t>
  </si>
  <si>
    <t>TELMACDS/2TMV</t>
  </si>
  <si>
    <t>2TMV</t>
  </si>
  <si>
    <t>TELMA CDS</t>
  </si>
  <si>
    <t>TELMACDS/GOAL</t>
  </si>
  <si>
    <t>GOAL</t>
  </si>
  <si>
    <t>TELMACDS/KILLOCOD</t>
  </si>
  <si>
    <t>KILLOCOD</t>
  </si>
  <si>
    <t>TELMACDS/LOAN</t>
  </si>
  <si>
    <t>LOAN</t>
  </si>
  <si>
    <t>TELMACDS/MSA</t>
  </si>
  <si>
    <t>MSA</t>
  </si>
  <si>
    <t>TELMACDS/MSACOMORES</t>
  </si>
  <si>
    <t>TELMACDS/MSAPWA</t>
  </si>
  <si>
    <t>MSA PWA</t>
  </si>
  <si>
    <t>TELMACDS/PARASOL</t>
  </si>
  <si>
    <t>PARASOL</t>
  </si>
  <si>
    <t>TELMACDS/PARASOLLOT2</t>
  </si>
  <si>
    <t>PARASOL LOT 2</t>
  </si>
  <si>
    <t>TELMACDS/POS</t>
  </si>
  <si>
    <t>POS HERMES</t>
  </si>
  <si>
    <t>TELMACDS/POSLOT2</t>
  </si>
  <si>
    <t>TELMACDS/SELFCARE MVOLA</t>
  </si>
  <si>
    <t>SELFCARE MVOLA</t>
  </si>
  <si>
    <t>TELMACDS/SELFCARE PREPAID</t>
  </si>
  <si>
    <t>SELFCARE PREPAID</t>
  </si>
  <si>
    <t>TELMACDS/SENTINEL</t>
  </si>
  <si>
    <t>SENTINEL</t>
  </si>
  <si>
    <t>TELMACDS/SENTINELCOMORES</t>
  </si>
  <si>
    <t>SENTINEL COMORES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</si>
</sst>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FFFFFF"/>
      <name val="Calibri"/>
    </font>
    <font>
      <b/>
      <sz val="10.0"/>
      <color rgb="FF000000"/>
      <name val="Arial"/>
    </font>
    <font>
      <b/>
      <sz val="10.0"/>
      <color rgb="FFFFFFFF"/>
      <name val="Arial"/>
    </font>
    <font>
      <b/>
      <sz val="10.0"/>
      <color rgb="FFC00000"/>
      <name val="Arial"/>
    </font>
    <font>
      <sz val="10.0"/>
      <color rgb="FFC00000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sz val="10.0"/>
      <color rgb="FF000000"/>
      <name val="Roboto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999999"/>
        <bgColor rgb="FF999999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</fills>
  <borders count="6">
    <border/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left/>
      <right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4" fillId="0" fontId="2" numFmtId="0" xfId="0" applyBorder="1" applyFont="1"/>
    <xf borderId="2" fillId="4" fontId="3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  <xf borderId="5" fillId="0" fontId="2" numFmtId="0" xfId="0" applyBorder="1" applyFont="1"/>
    <xf borderId="2" fillId="6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7" fontId="5" numFmtId="0" xfId="0" applyAlignment="1" applyBorder="1" applyFill="1" applyFont="1">
      <alignment horizontal="left" shrinkToFit="0" vertical="center" wrapText="1"/>
    </xf>
    <xf borderId="2" fillId="7" fontId="6" numFmtId="0" xfId="0" applyBorder="1" applyFont="1"/>
    <xf borderId="2" fillId="7" fontId="6" numFmtId="0" xfId="0" applyAlignment="1" applyBorder="1" applyFont="1">
      <alignment horizontal="center" vertical="center"/>
    </xf>
    <xf borderId="2" fillId="7" fontId="7" numFmtId="0" xfId="0" applyAlignment="1" applyBorder="1" applyFont="1">
      <alignment horizontal="center"/>
    </xf>
    <xf borderId="2" fillId="7" fontId="6" numFmtId="0" xfId="0" applyAlignment="1" applyBorder="1" applyFont="1">
      <alignment horizontal="center"/>
    </xf>
    <xf borderId="1" fillId="5" fontId="4" numFmtId="0" xfId="0" applyAlignment="1" applyBorder="1" applyFont="1">
      <alignment horizontal="left" readingOrder="0" shrinkToFit="0" vertical="center" wrapText="1"/>
    </xf>
    <xf borderId="2" fillId="5" fontId="4" numFmtId="0" xfId="0" applyBorder="1" applyFont="1"/>
    <xf borderId="2" fillId="6" fontId="4" numFmtId="0" xfId="0" applyBorder="1" applyFont="1"/>
    <xf borderId="2" fillId="8" fontId="4" numFmtId="0" xfId="0" applyAlignment="1" applyBorder="1" applyFill="1" applyFont="1">
      <alignment horizontal="center" vertical="center"/>
    </xf>
    <xf borderId="2" fillId="4" fontId="8" numFmtId="0" xfId="0" applyAlignment="1" applyBorder="1" applyFont="1">
      <alignment horizontal="center"/>
    </xf>
    <xf borderId="0" fillId="0" fontId="9" numFmtId="0" xfId="0" applyFont="1"/>
    <xf borderId="2" fillId="9" fontId="10" numFmtId="0" xfId="0" applyBorder="1" applyFill="1" applyFont="1"/>
    <xf borderId="2" fillId="5" fontId="4" numFmtId="0" xfId="0" applyAlignment="1" applyBorder="1" applyFont="1">
      <alignment readingOrder="0"/>
    </xf>
    <xf borderId="0" fillId="0" fontId="11" numFmtId="0" xfId="0" applyAlignment="1" applyFont="1">
      <alignment horizontal="center"/>
    </xf>
    <xf borderId="2" fillId="10" fontId="8" numFmtId="0" xfId="0" applyAlignment="1" applyBorder="1" applyFill="1" applyFont="1">
      <alignment horizontal="center"/>
    </xf>
    <xf borderId="0" fillId="0" fontId="11" numFmtId="0" xfId="0" applyFont="1"/>
    <xf borderId="2" fillId="8" fontId="4" numFmtId="0" xfId="0" applyAlignment="1" applyBorder="1" applyFont="1">
      <alignment horizontal="center"/>
    </xf>
    <xf borderId="2" fillId="9" fontId="12" numFmtId="0" xfId="0" applyBorder="1" applyFont="1"/>
    <xf borderId="2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wrapText="1"/>
    </xf>
    <xf borderId="2" fillId="6" fontId="9" numFmtId="0" xfId="0" applyBorder="1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right"/>
    </xf>
    <xf borderId="2" fillId="11" fontId="9" numFmtId="0" xfId="0" applyAlignment="1" applyBorder="1" applyFill="1" applyFont="1">
      <alignment horizontal="right"/>
    </xf>
    <xf borderId="0" fillId="0" fontId="13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24.25"/>
    <col customWidth="1" min="2" max="2" width="33.88"/>
    <col customWidth="1" min="3" max="3" width="32.13"/>
    <col customWidth="1" min="4" max="4" width="13.38"/>
    <col customWidth="1" min="5" max="8" width="7.25"/>
    <col customWidth="1" min="9" max="9" width="7.38"/>
    <col customWidth="1" min="10" max="10" width="8.38"/>
    <col customWidth="1" min="11" max="26" width="7.25"/>
    <col customWidth="1" min="27" max="28" width="7.63"/>
    <col customWidth="1" min="29" max="29" width="7.25"/>
    <col customWidth="1" min="30" max="30" width="0.38"/>
    <col customWidth="1" min="31" max="31" width="23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5"/>
      <c r="H1" s="5"/>
      <c r="I1" s="5"/>
      <c r="J1" s="5"/>
      <c r="K1" s="5"/>
      <c r="L1" s="3"/>
      <c r="M1" s="3"/>
      <c r="N1" s="3"/>
      <c r="O1" s="3"/>
      <c r="P1" s="3"/>
      <c r="Q1" s="3"/>
      <c r="R1" s="4" t="s">
        <v>5</v>
      </c>
      <c r="S1" s="5"/>
      <c r="T1" s="5"/>
      <c r="U1" s="5"/>
      <c r="V1" s="5"/>
      <c r="W1" s="5"/>
      <c r="X1" s="4" t="s">
        <v>6</v>
      </c>
      <c r="Y1" s="5"/>
      <c r="Z1" s="5"/>
      <c r="AA1" s="5"/>
      <c r="AB1" s="5"/>
      <c r="AC1" s="5"/>
      <c r="AD1" s="6"/>
      <c r="AE1" s="7"/>
    </row>
    <row r="2" ht="15.75" customHeight="1">
      <c r="A2" s="8"/>
      <c r="B2" s="8"/>
      <c r="C2" s="8"/>
      <c r="D2" s="8"/>
      <c r="E2" s="9"/>
      <c r="F2" s="10">
        <v>4.0</v>
      </c>
      <c r="G2" s="10">
        <v>5.0</v>
      </c>
      <c r="H2" s="10">
        <v>6.0</v>
      </c>
      <c r="I2" s="10">
        <v>7.0</v>
      </c>
      <c r="J2" s="10">
        <v>8.0</v>
      </c>
      <c r="K2" s="9"/>
      <c r="L2" s="10">
        <v>11.0</v>
      </c>
      <c r="M2" s="10">
        <v>12.0</v>
      </c>
      <c r="N2" s="10">
        <v>13.0</v>
      </c>
      <c r="O2" s="10">
        <v>14.0</v>
      </c>
      <c r="P2" s="10">
        <v>15.0</v>
      </c>
      <c r="Q2" s="9"/>
      <c r="R2" s="10">
        <v>18.0</v>
      </c>
      <c r="S2" s="10">
        <v>19.0</v>
      </c>
      <c r="T2" s="10">
        <v>20.0</v>
      </c>
      <c r="U2" s="10">
        <v>21.0</v>
      </c>
      <c r="V2" s="10">
        <v>22.0</v>
      </c>
      <c r="W2" s="9"/>
      <c r="X2" s="10">
        <v>25.0</v>
      </c>
      <c r="Y2" s="10">
        <v>26.0</v>
      </c>
      <c r="Z2" s="10">
        <v>27.0</v>
      </c>
      <c r="AA2" s="10">
        <v>28.0</v>
      </c>
      <c r="AB2" s="10">
        <v>29.0</v>
      </c>
      <c r="AC2" s="9"/>
      <c r="AD2" s="11" t="s">
        <v>7</v>
      </c>
      <c r="AE2" s="10" t="s">
        <v>8</v>
      </c>
    </row>
    <row r="3" ht="15.75" customHeight="1">
      <c r="A3" s="12" t="s">
        <v>9</v>
      </c>
      <c r="B3" s="13"/>
      <c r="C3" s="13"/>
      <c r="D3" s="13"/>
      <c r="E3" s="13"/>
      <c r="F3" s="14"/>
      <c r="G3" s="14"/>
      <c r="H3" s="14"/>
      <c r="I3" s="14"/>
      <c r="J3" s="14"/>
      <c r="K3" s="13"/>
      <c r="L3" s="14"/>
      <c r="M3" s="14"/>
      <c r="N3" s="14"/>
      <c r="O3" s="14"/>
      <c r="P3" s="14"/>
      <c r="Q3" s="13"/>
      <c r="R3" s="14"/>
      <c r="S3" s="14"/>
      <c r="T3" s="14"/>
      <c r="U3" s="14"/>
      <c r="V3" s="14"/>
      <c r="W3" s="13"/>
      <c r="X3" s="14"/>
      <c r="Y3" s="14"/>
      <c r="Z3" s="14"/>
      <c r="AA3" s="14"/>
      <c r="AB3" s="14"/>
      <c r="AC3" s="13"/>
      <c r="AD3" s="15"/>
      <c r="AE3" s="16"/>
    </row>
    <row r="4" ht="15.75" customHeight="1">
      <c r="A4" s="17" t="s">
        <v>10</v>
      </c>
      <c r="B4" s="18"/>
      <c r="C4" s="18"/>
      <c r="D4" s="18"/>
      <c r="E4" s="19"/>
      <c r="F4" s="20">
        <f t="shared" ref="F4:J4" si="1">SUM(F5:F12)</f>
        <v>1</v>
      </c>
      <c r="G4" s="20">
        <f t="shared" si="1"/>
        <v>1</v>
      </c>
      <c r="H4" s="20">
        <f t="shared" si="1"/>
        <v>1</v>
      </c>
      <c r="I4" s="20">
        <f t="shared" si="1"/>
        <v>1</v>
      </c>
      <c r="J4" s="20">
        <f t="shared" si="1"/>
        <v>1</v>
      </c>
      <c r="K4" s="19"/>
      <c r="L4" s="20">
        <f t="shared" ref="L4:P4" si="2">SUM(L5:L12)</f>
        <v>0</v>
      </c>
      <c r="M4" s="20">
        <f t="shared" si="2"/>
        <v>0</v>
      </c>
      <c r="N4" s="20">
        <f t="shared" si="2"/>
        <v>0</v>
      </c>
      <c r="O4" s="20">
        <f t="shared" si="2"/>
        <v>0</v>
      </c>
      <c r="P4" s="20">
        <f t="shared" si="2"/>
        <v>0</v>
      </c>
      <c r="Q4" s="19"/>
      <c r="R4" s="20">
        <f t="shared" ref="R4:V4" si="3">SUM(R5:R12)</f>
        <v>0</v>
      </c>
      <c r="S4" s="20">
        <f t="shared" si="3"/>
        <v>0</v>
      </c>
      <c r="T4" s="20">
        <f t="shared" si="3"/>
        <v>0</v>
      </c>
      <c r="U4" s="20">
        <f t="shared" si="3"/>
        <v>0</v>
      </c>
      <c r="V4" s="20">
        <f t="shared" si="3"/>
        <v>0</v>
      </c>
      <c r="W4" s="19"/>
      <c r="X4" s="20">
        <f t="shared" ref="X4:AB4" si="4">SUM(X5:X12)</f>
        <v>0</v>
      </c>
      <c r="Y4" s="20">
        <f t="shared" si="4"/>
        <v>0</v>
      </c>
      <c r="Z4" s="20">
        <f t="shared" si="4"/>
        <v>0</v>
      </c>
      <c r="AA4" s="20">
        <f t="shared" si="4"/>
        <v>0</v>
      </c>
      <c r="AB4" s="20">
        <f t="shared" si="4"/>
        <v>0</v>
      </c>
      <c r="AC4" s="19"/>
      <c r="AD4" s="21">
        <f t="shared" ref="AD4:AD40" si="5">SUM(E4:AA4)</f>
        <v>5</v>
      </c>
      <c r="AE4" s="7">
        <f>SUM(E4:AA4)</f>
        <v>5</v>
      </c>
    </row>
    <row r="5" ht="15.75" customHeight="1">
      <c r="A5" s="8"/>
      <c r="B5" s="22" t="s">
        <v>11</v>
      </c>
      <c r="C5" s="23" t="str">
        <f>VLOOKUP(B5,'Lignes Activités'!$A$3:$D$251,2)</f>
        <v>#N/A</v>
      </c>
      <c r="D5" s="24" t="s">
        <v>12</v>
      </c>
      <c r="E5" s="19"/>
      <c r="F5" s="25">
        <v>1.0</v>
      </c>
      <c r="G5" s="25">
        <v>1.0</v>
      </c>
      <c r="H5" s="25">
        <v>1.0</v>
      </c>
      <c r="I5" s="25">
        <v>1.0</v>
      </c>
      <c r="J5" s="25">
        <v>1.0</v>
      </c>
      <c r="K5" s="19"/>
      <c r="L5" s="25"/>
      <c r="M5" s="25"/>
      <c r="N5" s="25"/>
      <c r="O5" s="25"/>
      <c r="P5" s="25"/>
      <c r="Q5" s="19"/>
      <c r="R5" s="25"/>
      <c r="S5" s="25"/>
      <c r="T5" s="25"/>
      <c r="U5" s="25"/>
      <c r="V5" s="25"/>
      <c r="W5" s="19"/>
      <c r="X5" s="25"/>
      <c r="Y5" s="25"/>
      <c r="Z5" s="25"/>
      <c r="AA5" s="25"/>
      <c r="AB5" s="25"/>
      <c r="AC5" s="19"/>
      <c r="AD5" s="21">
        <f t="shared" si="5"/>
        <v>5</v>
      </c>
      <c r="AE5" s="26"/>
    </row>
    <row r="6" ht="15.75" customHeight="1">
      <c r="A6" s="8"/>
      <c r="B6" s="22" t="s">
        <v>13</v>
      </c>
      <c r="C6" s="23" t="str">
        <f>VLOOKUP(B6,'Lignes Activités'!$A$3:$D$251,2)</f>
        <v>INT_Avant Vente</v>
      </c>
      <c r="D6" s="24" t="s">
        <v>12</v>
      </c>
      <c r="E6" s="19"/>
      <c r="F6" s="25"/>
      <c r="G6" s="25"/>
      <c r="H6" s="25"/>
      <c r="I6" s="25"/>
      <c r="J6" s="25"/>
      <c r="K6" s="19"/>
      <c r="L6" s="25"/>
      <c r="M6" s="25"/>
      <c r="N6" s="25"/>
      <c r="O6" s="25"/>
      <c r="P6" s="25"/>
      <c r="Q6" s="19"/>
      <c r="R6" s="25"/>
      <c r="S6" s="25"/>
      <c r="T6" s="25"/>
      <c r="U6" s="25"/>
      <c r="V6" s="25"/>
      <c r="W6" s="19"/>
      <c r="X6" s="25"/>
      <c r="Y6" s="25"/>
      <c r="Z6" s="25"/>
      <c r="AA6" s="25"/>
      <c r="AB6" s="25"/>
      <c r="AC6" s="19"/>
      <c r="AD6" s="21">
        <f t="shared" si="5"/>
        <v>0</v>
      </c>
      <c r="AE6" s="26"/>
    </row>
    <row r="7" ht="15.75" customHeight="1">
      <c r="A7" s="8"/>
      <c r="B7" s="22" t="s">
        <v>14</v>
      </c>
      <c r="C7" s="23" t="str">
        <f>VLOOKUP(B7,'Lignes Activités'!$A$3:$D$251,2)</f>
        <v>INT_Formation</v>
      </c>
      <c r="D7" s="24" t="s">
        <v>12</v>
      </c>
      <c r="E7" s="19"/>
      <c r="F7" s="25"/>
      <c r="G7" s="25"/>
      <c r="H7" s="25"/>
      <c r="I7" s="25"/>
      <c r="J7" s="25"/>
      <c r="K7" s="19"/>
      <c r="L7" s="25"/>
      <c r="M7" s="25"/>
      <c r="N7" s="25"/>
      <c r="O7" s="25"/>
      <c r="P7" s="25"/>
      <c r="Q7" s="19"/>
      <c r="R7" s="25"/>
      <c r="S7" s="25"/>
      <c r="T7" s="25"/>
      <c r="U7" s="25"/>
      <c r="V7" s="25"/>
      <c r="W7" s="19"/>
      <c r="X7" s="25"/>
      <c r="Y7" s="25"/>
      <c r="Z7" s="25"/>
      <c r="AA7" s="25"/>
      <c r="AB7" s="25"/>
      <c r="AC7" s="19"/>
      <c r="AD7" s="21">
        <f t="shared" si="5"/>
        <v>0</v>
      </c>
      <c r="AE7" s="26"/>
    </row>
    <row r="8" ht="15.75" customHeight="1">
      <c r="A8" s="8"/>
      <c r="B8" s="22" t="s">
        <v>15</v>
      </c>
      <c r="C8" s="23" t="str">
        <f>VLOOKUP(B8,'Lignes Activités'!$A$3:$D$251,2)</f>
        <v>INT_Pôle (AV, RH, Formation, …)</v>
      </c>
      <c r="D8" s="24" t="s">
        <v>12</v>
      </c>
      <c r="E8" s="19"/>
      <c r="F8" s="25"/>
      <c r="G8" s="25"/>
      <c r="H8" s="25"/>
      <c r="I8" s="25"/>
      <c r="J8" s="25"/>
      <c r="K8" s="19"/>
      <c r="L8" s="25"/>
      <c r="M8" s="25"/>
      <c r="N8" s="25"/>
      <c r="O8" s="25"/>
      <c r="P8" s="25"/>
      <c r="Q8" s="19"/>
      <c r="R8" s="25"/>
      <c r="S8" s="25"/>
      <c r="T8" s="25"/>
      <c r="U8" s="25"/>
      <c r="V8" s="25"/>
      <c r="W8" s="19"/>
      <c r="X8" s="25"/>
      <c r="Y8" s="25"/>
      <c r="Z8" s="25"/>
      <c r="AA8" s="25"/>
      <c r="AB8" s="25"/>
      <c r="AC8" s="19"/>
      <c r="AD8" s="21">
        <f t="shared" si="5"/>
        <v>0</v>
      </c>
      <c r="AE8" s="26"/>
    </row>
    <row r="9" ht="15.75" customHeight="1">
      <c r="A9" s="8"/>
      <c r="B9" s="22" t="s">
        <v>16</v>
      </c>
      <c r="C9" s="23" t="str">
        <f>VLOOKUP(B9,'Lignes Activités'!$A$3:$D$251,2)</f>
        <v>Inter Contrat</v>
      </c>
      <c r="D9" s="24" t="s">
        <v>12</v>
      </c>
      <c r="E9" s="19"/>
      <c r="F9" s="25"/>
      <c r="G9" s="25"/>
      <c r="H9" s="25"/>
      <c r="I9" s="25"/>
      <c r="J9" s="25"/>
      <c r="K9" s="19"/>
      <c r="L9" s="25"/>
      <c r="M9" s="25"/>
      <c r="N9" s="25"/>
      <c r="O9" s="25"/>
      <c r="P9" s="25"/>
      <c r="Q9" s="19"/>
      <c r="R9" s="25"/>
      <c r="S9" s="25"/>
      <c r="T9" s="25"/>
      <c r="U9" s="25"/>
      <c r="V9" s="25"/>
      <c r="W9" s="19"/>
      <c r="X9" s="25"/>
      <c r="Y9" s="25"/>
      <c r="Z9" s="25"/>
      <c r="AA9" s="25"/>
      <c r="AB9" s="25"/>
      <c r="AC9" s="19"/>
      <c r="AD9" s="21">
        <f t="shared" si="5"/>
        <v>0</v>
      </c>
      <c r="AE9" s="26"/>
    </row>
    <row r="10" ht="15.75" customHeight="1">
      <c r="A10" s="8"/>
      <c r="B10" s="27"/>
      <c r="C10" s="23" t="str">
        <f>VLOOKUP(B10,'Lignes Activités'!$A$3:$D$251,2)</f>
        <v>#N/A</v>
      </c>
      <c r="D10" s="24" t="s">
        <v>12</v>
      </c>
      <c r="E10" s="19"/>
      <c r="F10" s="25"/>
      <c r="G10" s="25"/>
      <c r="H10" s="25"/>
      <c r="I10" s="25"/>
      <c r="J10" s="25"/>
      <c r="K10" s="19"/>
      <c r="L10" s="25"/>
      <c r="M10" s="25"/>
      <c r="N10" s="25"/>
      <c r="O10" s="25"/>
      <c r="P10" s="25"/>
      <c r="Q10" s="19"/>
      <c r="R10" s="25"/>
      <c r="S10" s="25"/>
      <c r="T10" s="25"/>
      <c r="U10" s="25"/>
      <c r="V10" s="25"/>
      <c r="W10" s="19"/>
      <c r="X10" s="25"/>
      <c r="Y10" s="25"/>
      <c r="Z10" s="25"/>
      <c r="AA10" s="25"/>
      <c r="AB10" s="25"/>
      <c r="AC10" s="19"/>
      <c r="AD10" s="21">
        <f t="shared" si="5"/>
        <v>0</v>
      </c>
      <c r="AE10" s="26"/>
    </row>
    <row r="11" ht="15.75" customHeight="1">
      <c r="A11" s="8"/>
      <c r="B11" s="27"/>
      <c r="C11" s="23" t="str">
        <f>VLOOKUP(B11,'Lignes Activités'!$A$3:$D$251,2)</f>
        <v>#N/A</v>
      </c>
      <c r="D11" s="24" t="s">
        <v>12</v>
      </c>
      <c r="E11" s="19"/>
      <c r="F11" s="25"/>
      <c r="G11" s="25"/>
      <c r="H11" s="25"/>
      <c r="I11" s="25"/>
      <c r="J11" s="25"/>
      <c r="K11" s="19"/>
      <c r="L11" s="25"/>
      <c r="M11" s="25"/>
      <c r="N11" s="25"/>
      <c r="O11" s="25"/>
      <c r="P11" s="25"/>
      <c r="Q11" s="19"/>
      <c r="R11" s="25"/>
      <c r="S11" s="25"/>
      <c r="T11" s="25"/>
      <c r="U11" s="25"/>
      <c r="V11" s="25"/>
      <c r="W11" s="19"/>
      <c r="X11" s="25"/>
      <c r="Y11" s="25"/>
      <c r="Z11" s="25"/>
      <c r="AA11" s="25"/>
      <c r="AB11" s="25"/>
      <c r="AC11" s="19"/>
      <c r="AD11" s="21">
        <f t="shared" si="5"/>
        <v>0</v>
      </c>
      <c r="AE11" s="26"/>
    </row>
    <row r="12" ht="15.75" customHeight="1">
      <c r="A12" s="8"/>
      <c r="B12" s="27"/>
      <c r="C12" s="23" t="str">
        <f>VLOOKUP(B12,'Lignes Activités'!$A$3:$D$251,2)</f>
        <v>#N/A</v>
      </c>
      <c r="D12" s="24" t="s">
        <v>12</v>
      </c>
      <c r="E12" s="19"/>
      <c r="F12" s="25"/>
      <c r="G12" s="25"/>
      <c r="H12" s="25"/>
      <c r="I12" s="25"/>
      <c r="J12" s="25"/>
      <c r="K12" s="19"/>
      <c r="L12" s="25"/>
      <c r="M12" s="25"/>
      <c r="N12" s="25"/>
      <c r="O12" s="25"/>
      <c r="P12" s="25"/>
      <c r="Q12" s="19"/>
      <c r="R12" s="25"/>
      <c r="S12" s="25"/>
      <c r="T12" s="25"/>
      <c r="U12" s="25"/>
      <c r="V12" s="25"/>
      <c r="W12" s="19"/>
      <c r="X12" s="25"/>
      <c r="Y12" s="25"/>
      <c r="Z12" s="25"/>
      <c r="AA12" s="25"/>
      <c r="AB12" s="25"/>
      <c r="AC12" s="19"/>
      <c r="AD12" s="21">
        <f t="shared" si="5"/>
        <v>0</v>
      </c>
      <c r="AE12" s="26"/>
    </row>
    <row r="13" ht="15.75" customHeight="1">
      <c r="A13" s="17" t="s">
        <v>17</v>
      </c>
      <c r="B13" s="18"/>
      <c r="C13" s="18"/>
      <c r="D13" s="24" t="s">
        <v>12</v>
      </c>
      <c r="E13" s="19"/>
      <c r="F13" s="20">
        <f t="shared" ref="F13:J13" si="6">SUM(F14:F22)</f>
        <v>1</v>
      </c>
      <c r="G13" s="20">
        <f t="shared" si="6"/>
        <v>1</v>
      </c>
      <c r="H13" s="20">
        <f t="shared" si="6"/>
        <v>1</v>
      </c>
      <c r="I13" s="20">
        <f t="shared" si="6"/>
        <v>1</v>
      </c>
      <c r="J13" s="20">
        <f t="shared" si="6"/>
        <v>1</v>
      </c>
      <c r="K13" s="19"/>
      <c r="L13" s="20">
        <f t="shared" ref="L13:P13" si="7">SUM(L14:L22)</f>
        <v>1</v>
      </c>
      <c r="M13" s="20">
        <f t="shared" si="7"/>
        <v>1</v>
      </c>
      <c r="N13" s="20">
        <f t="shared" si="7"/>
        <v>1</v>
      </c>
      <c r="O13" s="20">
        <f t="shared" si="7"/>
        <v>1</v>
      </c>
      <c r="P13" s="20">
        <f t="shared" si="7"/>
        <v>1</v>
      </c>
      <c r="Q13" s="19"/>
      <c r="R13" s="20">
        <f t="shared" ref="R13:V13" si="8">SUM(R14:R22)</f>
        <v>1</v>
      </c>
      <c r="S13" s="20">
        <f t="shared" si="8"/>
        <v>1</v>
      </c>
      <c r="T13" s="20">
        <f t="shared" si="8"/>
        <v>0</v>
      </c>
      <c r="U13" s="20">
        <f t="shared" si="8"/>
        <v>0</v>
      </c>
      <c r="V13" s="20">
        <f t="shared" si="8"/>
        <v>0</v>
      </c>
      <c r="W13" s="19"/>
      <c r="X13" s="28">
        <f t="shared" ref="X13:AB13" si="9">SUM(X14:X22)</f>
        <v>0</v>
      </c>
      <c r="Y13" s="28">
        <f t="shared" si="9"/>
        <v>0</v>
      </c>
      <c r="Z13" s="28">
        <f t="shared" si="9"/>
        <v>0</v>
      </c>
      <c r="AA13" s="28">
        <f t="shared" si="9"/>
        <v>0</v>
      </c>
      <c r="AB13" s="28">
        <f t="shared" si="9"/>
        <v>0</v>
      </c>
      <c r="AC13" s="19"/>
      <c r="AD13" s="21">
        <f t="shared" si="5"/>
        <v>12</v>
      </c>
      <c r="AE13" s="7">
        <f>SUM(E13:AA13)</f>
        <v>12</v>
      </c>
    </row>
    <row r="14" ht="15.75" customHeight="1">
      <c r="A14" s="8"/>
      <c r="B14" s="22" t="s">
        <v>11</v>
      </c>
      <c r="C14" s="23" t="str">
        <f>VLOOKUP(B14,'Lignes Activités'!$A$3:$D$251,2)</f>
        <v>#N/A</v>
      </c>
      <c r="D14" s="24" t="s">
        <v>12</v>
      </c>
      <c r="E14" s="19"/>
      <c r="F14" s="25"/>
      <c r="G14" s="25"/>
      <c r="H14" s="25"/>
      <c r="I14" s="25"/>
      <c r="J14" s="25"/>
      <c r="K14" s="19"/>
      <c r="L14" s="25"/>
      <c r="M14" s="25"/>
      <c r="N14" s="25"/>
      <c r="O14" s="25"/>
      <c r="P14" s="25"/>
      <c r="Q14" s="19"/>
      <c r="R14" s="25"/>
      <c r="S14" s="25"/>
      <c r="T14" s="25"/>
      <c r="U14" s="25"/>
      <c r="V14" s="25"/>
      <c r="W14" s="19"/>
      <c r="X14" s="25"/>
      <c r="Y14" s="25"/>
      <c r="Z14" s="25"/>
      <c r="AA14" s="25"/>
      <c r="AB14" s="25"/>
      <c r="AC14" s="19"/>
      <c r="AD14" s="21">
        <f t="shared" si="5"/>
        <v>0</v>
      </c>
      <c r="AE14" s="26"/>
    </row>
    <row r="15" ht="15.75" customHeight="1">
      <c r="A15" s="8"/>
      <c r="B15" s="22" t="s">
        <v>13</v>
      </c>
      <c r="C15" s="23" t="str">
        <f>VLOOKUP(B15,'Lignes Activités'!$A$3:$D$251,2)</f>
        <v>INT_Avant Vente</v>
      </c>
      <c r="D15" s="24" t="s">
        <v>12</v>
      </c>
      <c r="E15" s="19"/>
      <c r="F15" s="25"/>
      <c r="G15" s="25"/>
      <c r="H15" s="25"/>
      <c r="I15" s="25"/>
      <c r="J15" s="25"/>
      <c r="K15" s="19"/>
      <c r="L15" s="25"/>
      <c r="M15" s="25"/>
      <c r="N15" s="25"/>
      <c r="O15" s="25"/>
      <c r="P15" s="25"/>
      <c r="Q15" s="19"/>
      <c r="R15" s="25"/>
      <c r="S15" s="25"/>
      <c r="T15" s="25"/>
      <c r="U15" s="25"/>
      <c r="V15" s="25"/>
      <c r="W15" s="19"/>
      <c r="X15" s="25"/>
      <c r="Y15" s="25"/>
      <c r="Z15" s="25"/>
      <c r="AA15" s="25"/>
      <c r="AB15" s="25"/>
      <c r="AC15" s="19"/>
      <c r="AD15" s="21">
        <f t="shared" si="5"/>
        <v>0</v>
      </c>
      <c r="AE15" s="26"/>
    </row>
    <row r="16" ht="15.75" customHeight="1">
      <c r="A16" s="8"/>
      <c r="B16" s="22" t="s">
        <v>14</v>
      </c>
      <c r="C16" s="23" t="str">
        <f>VLOOKUP(B16,'Lignes Activités'!$A$3:$D$251,2)</f>
        <v>INT_Formation</v>
      </c>
      <c r="D16" s="24" t="s">
        <v>12</v>
      </c>
      <c r="E16" s="19"/>
      <c r="F16" s="25"/>
      <c r="G16" s="25"/>
      <c r="H16" s="25"/>
      <c r="I16" s="25"/>
      <c r="J16" s="25"/>
      <c r="K16" s="19"/>
      <c r="L16" s="25"/>
      <c r="M16" s="25"/>
      <c r="N16" s="25"/>
      <c r="O16" s="25"/>
      <c r="P16" s="25"/>
      <c r="Q16" s="19"/>
      <c r="R16" s="25"/>
      <c r="S16" s="25"/>
      <c r="T16" s="25"/>
      <c r="U16" s="25"/>
      <c r="V16" s="25"/>
      <c r="W16" s="19"/>
      <c r="X16" s="25"/>
      <c r="Y16" s="25"/>
      <c r="Z16" s="25"/>
      <c r="AA16" s="25"/>
      <c r="AB16" s="25"/>
      <c r="AC16" s="19"/>
      <c r="AD16" s="21">
        <f t="shared" si="5"/>
        <v>0</v>
      </c>
      <c r="AE16" s="26"/>
    </row>
    <row r="17" ht="15.75" customHeight="1">
      <c r="A17" s="8"/>
      <c r="B17" s="22" t="s">
        <v>15</v>
      </c>
      <c r="C17" s="23" t="str">
        <f>VLOOKUP(B17,'Lignes Activités'!$A$3:$D$251,2)</f>
        <v>INT_Pôle (AV, RH, Formation, …)</v>
      </c>
      <c r="D17" s="24" t="s">
        <v>12</v>
      </c>
      <c r="E17" s="19"/>
      <c r="F17" s="25"/>
      <c r="G17" s="25"/>
      <c r="H17" s="25"/>
      <c r="I17" s="25"/>
      <c r="J17" s="25"/>
      <c r="K17" s="19"/>
      <c r="L17" s="25"/>
      <c r="M17" s="25"/>
      <c r="N17" s="25"/>
      <c r="O17" s="25"/>
      <c r="P17" s="25"/>
      <c r="Q17" s="19"/>
      <c r="R17" s="25">
        <v>0.5</v>
      </c>
      <c r="S17" s="25"/>
      <c r="T17" s="25"/>
      <c r="U17" s="25"/>
      <c r="V17" s="25"/>
      <c r="W17" s="19"/>
      <c r="X17" s="25"/>
      <c r="Y17" s="25"/>
      <c r="Z17" s="25"/>
      <c r="AA17" s="25"/>
      <c r="AB17" s="25"/>
      <c r="AC17" s="19"/>
      <c r="AD17" s="21">
        <f t="shared" si="5"/>
        <v>0.5</v>
      </c>
      <c r="AE17" s="26"/>
    </row>
    <row r="18" ht="15.75" customHeight="1">
      <c r="A18" s="8"/>
      <c r="B18" s="22" t="s">
        <v>16</v>
      </c>
      <c r="C18" s="23" t="str">
        <f>VLOOKUP(B18,'Lignes Activités'!$A$3:$D$251,2)</f>
        <v>Inter Contrat</v>
      </c>
      <c r="D18" s="24" t="s">
        <v>12</v>
      </c>
      <c r="E18" s="19"/>
      <c r="F18" s="25"/>
      <c r="G18" s="25"/>
      <c r="H18" s="25"/>
      <c r="I18" s="25"/>
      <c r="J18" s="25"/>
      <c r="K18" s="19"/>
      <c r="L18" s="25"/>
      <c r="M18" s="25"/>
      <c r="N18" s="25"/>
      <c r="O18" s="25"/>
      <c r="P18" s="25"/>
      <c r="Q18" s="19"/>
      <c r="R18" s="25"/>
      <c r="S18" s="25"/>
      <c r="T18" s="25"/>
      <c r="U18" s="25"/>
      <c r="V18" s="25"/>
      <c r="W18" s="19"/>
      <c r="X18" s="25"/>
      <c r="Y18" s="25"/>
      <c r="Z18" s="25"/>
      <c r="AA18" s="25"/>
      <c r="AB18" s="25"/>
      <c r="AC18" s="19"/>
      <c r="AD18" s="21">
        <f t="shared" si="5"/>
        <v>0</v>
      </c>
      <c r="AE18" s="26"/>
    </row>
    <row r="19" ht="15.75" customHeight="1">
      <c r="A19" s="8"/>
      <c r="B19" s="22" t="s">
        <v>18</v>
      </c>
      <c r="C19" s="23" t="str">
        <f>VLOOKUP(B19,'Lignes Activités'!$A$3:$D$251,2)</f>
        <v>NOVISSI</v>
      </c>
      <c r="D19" s="24" t="s">
        <v>12</v>
      </c>
      <c r="E19" s="19"/>
      <c r="F19" s="25">
        <v>0.5</v>
      </c>
      <c r="G19" s="25">
        <v>1.0</v>
      </c>
      <c r="H19" s="25">
        <v>1.0</v>
      </c>
      <c r="I19" s="25">
        <v>1.0</v>
      </c>
      <c r="J19" s="25">
        <v>0.5</v>
      </c>
      <c r="K19" s="19"/>
      <c r="L19" s="25"/>
      <c r="M19" s="25">
        <v>0.5</v>
      </c>
      <c r="N19" s="25">
        <v>1.0</v>
      </c>
      <c r="O19" s="25"/>
      <c r="P19" s="25"/>
      <c r="Q19" s="19"/>
      <c r="R19" s="25"/>
      <c r="S19" s="25"/>
      <c r="T19" s="25"/>
      <c r="U19" s="25"/>
      <c r="V19" s="25"/>
      <c r="W19" s="19"/>
      <c r="X19" s="25"/>
      <c r="Y19" s="25"/>
      <c r="Z19" s="25"/>
      <c r="AA19" s="25"/>
      <c r="AB19" s="25"/>
      <c r="AC19" s="19"/>
      <c r="AD19" s="21">
        <f t="shared" si="5"/>
        <v>5.5</v>
      </c>
      <c r="AE19" s="26"/>
    </row>
    <row r="20" ht="15.75" customHeight="1">
      <c r="A20" s="8"/>
      <c r="B20" s="29" t="s">
        <v>19</v>
      </c>
      <c r="C20" s="23" t="str">
        <f>VLOOKUP(B20,'Lignes Activités'!$A$3:$D$251,2)</f>
        <v>BONDY</v>
      </c>
      <c r="D20" s="24" t="s">
        <v>12</v>
      </c>
      <c r="E20" s="19"/>
      <c r="F20" s="25">
        <v>0.5</v>
      </c>
      <c r="G20" s="25"/>
      <c r="H20" s="25"/>
      <c r="I20" s="25"/>
      <c r="J20" s="25">
        <v>0.5</v>
      </c>
      <c r="K20" s="19"/>
      <c r="L20" s="25">
        <v>1.0</v>
      </c>
      <c r="M20" s="25">
        <v>0.5</v>
      </c>
      <c r="N20" s="25"/>
      <c r="O20" s="25">
        <v>1.0</v>
      </c>
      <c r="P20" s="25">
        <v>1.0</v>
      </c>
      <c r="Q20" s="19"/>
      <c r="R20" s="25">
        <v>0.5</v>
      </c>
      <c r="S20" s="25">
        <v>1.0</v>
      </c>
      <c r="T20" s="25"/>
      <c r="U20" s="25"/>
      <c r="V20" s="25"/>
      <c r="W20" s="19"/>
      <c r="X20" s="25"/>
      <c r="Y20" s="25"/>
      <c r="Z20" s="25"/>
      <c r="AA20" s="25"/>
      <c r="AB20" s="25"/>
      <c r="AC20" s="19"/>
      <c r="AD20" s="21">
        <f t="shared" si="5"/>
        <v>6</v>
      </c>
      <c r="AE20" s="26"/>
    </row>
    <row r="21" ht="15.75" customHeight="1">
      <c r="A21" s="8"/>
      <c r="B21" s="27"/>
      <c r="C21" s="23" t="str">
        <f>VLOOKUP(B21,'Lignes Activités'!$A$3:$D$251,2)</f>
        <v>#N/A</v>
      </c>
      <c r="D21" s="24" t="s">
        <v>12</v>
      </c>
      <c r="E21" s="19"/>
      <c r="F21" s="25"/>
      <c r="G21" s="25"/>
      <c r="H21" s="25"/>
      <c r="I21" s="25"/>
      <c r="J21" s="25"/>
      <c r="K21" s="19"/>
      <c r="L21" s="25"/>
      <c r="M21" s="25"/>
      <c r="N21" s="25"/>
      <c r="O21" s="25"/>
      <c r="P21" s="25"/>
      <c r="Q21" s="19"/>
      <c r="R21" s="25"/>
      <c r="S21" s="25"/>
      <c r="T21" s="25"/>
      <c r="U21" s="25"/>
      <c r="V21" s="25"/>
      <c r="W21" s="19"/>
      <c r="X21" s="25"/>
      <c r="Y21" s="25"/>
      <c r="Z21" s="25"/>
      <c r="AA21" s="25"/>
      <c r="AB21" s="25"/>
      <c r="AC21" s="19"/>
      <c r="AD21" s="21">
        <f t="shared" si="5"/>
        <v>0</v>
      </c>
      <c r="AE21" s="26"/>
    </row>
    <row r="22" ht="15.75" customHeight="1">
      <c r="A22" s="8"/>
      <c r="B22" s="27"/>
      <c r="C22" s="23" t="str">
        <f>VLOOKUP(B22,'Lignes Activités'!$A$3:$D$251,2)</f>
        <v>#N/A</v>
      </c>
      <c r="D22" s="24" t="s">
        <v>12</v>
      </c>
      <c r="E22" s="19"/>
      <c r="F22" s="25"/>
      <c r="G22" s="25"/>
      <c r="H22" s="25"/>
      <c r="I22" s="25"/>
      <c r="J22" s="25"/>
      <c r="K22" s="19"/>
      <c r="L22" s="25"/>
      <c r="M22" s="25"/>
      <c r="N22" s="25"/>
      <c r="O22" s="25"/>
      <c r="P22" s="25"/>
      <c r="Q22" s="19"/>
      <c r="R22" s="25"/>
      <c r="S22" s="25"/>
      <c r="T22" s="25"/>
      <c r="U22" s="25"/>
      <c r="V22" s="25"/>
      <c r="W22" s="19"/>
      <c r="X22" s="25"/>
      <c r="Y22" s="25"/>
      <c r="Z22" s="25"/>
      <c r="AA22" s="25"/>
      <c r="AB22" s="25"/>
      <c r="AC22" s="19"/>
      <c r="AD22" s="21">
        <f t="shared" si="5"/>
        <v>0</v>
      </c>
      <c r="AE22" s="26"/>
    </row>
    <row r="23" ht="15.75" customHeight="1">
      <c r="A23" s="17" t="s">
        <v>20</v>
      </c>
      <c r="B23" s="18"/>
      <c r="C23" s="18"/>
      <c r="D23" s="24" t="s">
        <v>12</v>
      </c>
      <c r="E23" s="19"/>
      <c r="F23" s="20">
        <f t="shared" ref="F23:J23" si="10">SUM(F24:F31)</f>
        <v>0</v>
      </c>
      <c r="G23" s="20">
        <f t="shared" si="10"/>
        <v>0</v>
      </c>
      <c r="H23" s="20">
        <f t="shared" si="10"/>
        <v>0</v>
      </c>
      <c r="I23" s="20">
        <f t="shared" si="10"/>
        <v>0</v>
      </c>
      <c r="J23" s="20">
        <f t="shared" si="10"/>
        <v>0</v>
      </c>
      <c r="K23" s="19"/>
      <c r="L23" s="20">
        <f t="shared" ref="L23:P23" si="11">SUM(L24:L31)</f>
        <v>0</v>
      </c>
      <c r="M23" s="20">
        <f t="shared" si="11"/>
        <v>0</v>
      </c>
      <c r="N23" s="20">
        <f t="shared" si="11"/>
        <v>0</v>
      </c>
      <c r="O23" s="20">
        <f t="shared" si="11"/>
        <v>0</v>
      </c>
      <c r="P23" s="20">
        <f t="shared" si="11"/>
        <v>0</v>
      </c>
      <c r="Q23" s="19"/>
      <c r="R23" s="20">
        <f t="shared" ref="R23:S23" si="12">SUM(R24:R31)</f>
        <v>0</v>
      </c>
      <c r="S23" s="20">
        <f t="shared" si="12"/>
        <v>0</v>
      </c>
      <c r="T23" s="20">
        <f t="shared" ref="T23:V23" si="13">SUM(T24:T30)</f>
        <v>0</v>
      </c>
      <c r="U23" s="20">
        <f t="shared" si="13"/>
        <v>0</v>
      </c>
      <c r="V23" s="20">
        <f t="shared" si="13"/>
        <v>0</v>
      </c>
      <c r="W23" s="19"/>
      <c r="X23" s="20">
        <f t="shared" ref="X23:AB23" si="14">SUM(X24:X31)</f>
        <v>0</v>
      </c>
      <c r="Y23" s="20">
        <f t="shared" si="14"/>
        <v>0</v>
      </c>
      <c r="Z23" s="20">
        <f t="shared" si="14"/>
        <v>0</v>
      </c>
      <c r="AA23" s="20">
        <f t="shared" si="14"/>
        <v>0</v>
      </c>
      <c r="AB23" s="20">
        <f t="shared" si="14"/>
        <v>0</v>
      </c>
      <c r="AC23" s="19"/>
      <c r="AD23" s="21">
        <f t="shared" si="5"/>
        <v>0</v>
      </c>
      <c r="AE23" s="7">
        <f>SUM(E23:AA23)</f>
        <v>0</v>
      </c>
    </row>
    <row r="24" ht="15.75" customHeight="1">
      <c r="A24" s="8"/>
      <c r="B24" s="22" t="s">
        <v>11</v>
      </c>
      <c r="C24" s="23" t="str">
        <f>VLOOKUP(B24,'Lignes Activités'!$A$3:$D$251,2)</f>
        <v>#N/A</v>
      </c>
      <c r="D24" s="24" t="s">
        <v>12</v>
      </c>
      <c r="E24" s="19"/>
      <c r="F24" s="25"/>
      <c r="G24" s="25"/>
      <c r="H24" s="25"/>
      <c r="I24" s="25"/>
      <c r="J24" s="25"/>
      <c r="K24" s="19"/>
      <c r="L24" s="25"/>
      <c r="M24" s="25"/>
      <c r="N24" s="25"/>
      <c r="O24" s="25"/>
      <c r="P24" s="25"/>
      <c r="Q24" s="19"/>
      <c r="R24" s="25"/>
      <c r="S24" s="25"/>
      <c r="T24" s="25"/>
      <c r="U24" s="25"/>
      <c r="V24" s="25"/>
      <c r="W24" s="19"/>
      <c r="X24" s="25"/>
      <c r="Y24" s="25"/>
      <c r="Z24" s="25"/>
      <c r="AA24" s="25"/>
      <c r="AB24" s="25"/>
      <c r="AC24" s="19"/>
      <c r="AD24" s="21">
        <f t="shared" si="5"/>
        <v>0</v>
      </c>
      <c r="AE24" s="26"/>
    </row>
    <row r="25" ht="15.75" customHeight="1">
      <c r="A25" s="8"/>
      <c r="B25" s="22" t="s">
        <v>13</v>
      </c>
      <c r="C25" s="23" t="str">
        <f>VLOOKUP(B25,'Lignes Activités'!$A$3:$D$251,2)</f>
        <v>INT_Avant Vente</v>
      </c>
      <c r="D25" s="24" t="s">
        <v>12</v>
      </c>
      <c r="E25" s="19"/>
      <c r="F25" s="25"/>
      <c r="G25" s="25"/>
      <c r="H25" s="25"/>
      <c r="I25" s="25"/>
      <c r="J25" s="25"/>
      <c r="K25" s="19"/>
      <c r="L25" s="25"/>
      <c r="M25" s="25"/>
      <c r="N25" s="25"/>
      <c r="O25" s="25"/>
      <c r="P25" s="25"/>
      <c r="Q25" s="19"/>
      <c r="R25" s="25"/>
      <c r="S25" s="25"/>
      <c r="T25" s="25"/>
      <c r="U25" s="25"/>
      <c r="V25" s="25"/>
      <c r="W25" s="19"/>
      <c r="X25" s="25"/>
      <c r="Y25" s="25"/>
      <c r="Z25" s="25"/>
      <c r="AA25" s="25"/>
      <c r="AB25" s="25"/>
      <c r="AC25" s="19"/>
      <c r="AD25" s="21">
        <f t="shared" si="5"/>
        <v>0</v>
      </c>
      <c r="AE25" s="26"/>
    </row>
    <row r="26" ht="15.75" customHeight="1">
      <c r="A26" s="8"/>
      <c r="B26" s="22" t="s">
        <v>14</v>
      </c>
      <c r="C26" s="23" t="str">
        <f>VLOOKUP(B26,'Lignes Activités'!$A$3:$D$251,2)</f>
        <v>INT_Formation</v>
      </c>
      <c r="D26" s="24" t="s">
        <v>12</v>
      </c>
      <c r="E26" s="19"/>
      <c r="F26" s="25"/>
      <c r="G26" s="25"/>
      <c r="H26" s="25"/>
      <c r="I26" s="25"/>
      <c r="J26" s="25"/>
      <c r="K26" s="19"/>
      <c r="L26" s="25"/>
      <c r="M26" s="25"/>
      <c r="N26" s="25"/>
      <c r="O26" s="25"/>
      <c r="P26" s="25"/>
      <c r="Q26" s="19"/>
      <c r="R26" s="25"/>
      <c r="S26" s="25"/>
      <c r="T26" s="25"/>
      <c r="U26" s="25"/>
      <c r="V26" s="25"/>
      <c r="W26" s="19"/>
      <c r="X26" s="25"/>
      <c r="Y26" s="25"/>
      <c r="Z26" s="25"/>
      <c r="AA26" s="25"/>
      <c r="AB26" s="25"/>
      <c r="AC26" s="19"/>
      <c r="AD26" s="21">
        <f t="shared" si="5"/>
        <v>0</v>
      </c>
      <c r="AE26" s="26"/>
    </row>
    <row r="27" ht="15.75" customHeight="1">
      <c r="A27" s="8"/>
      <c r="B27" s="22" t="s">
        <v>15</v>
      </c>
      <c r="C27" s="23" t="str">
        <f>VLOOKUP(B27,'Lignes Activités'!$A$3:$D$251,2)</f>
        <v>INT_Pôle (AV, RH, Formation, …)</v>
      </c>
      <c r="D27" s="24" t="s">
        <v>12</v>
      </c>
      <c r="E27" s="19"/>
      <c r="F27" s="25"/>
      <c r="G27" s="25"/>
      <c r="H27" s="25"/>
      <c r="I27" s="25"/>
      <c r="J27" s="25"/>
      <c r="K27" s="19"/>
      <c r="L27" s="25"/>
      <c r="M27" s="25"/>
      <c r="N27" s="25"/>
      <c r="O27" s="25"/>
      <c r="P27" s="25"/>
      <c r="Q27" s="19"/>
      <c r="R27" s="25"/>
      <c r="S27" s="25"/>
      <c r="T27" s="25"/>
      <c r="U27" s="25"/>
      <c r="V27" s="25"/>
      <c r="W27" s="19"/>
      <c r="X27" s="25"/>
      <c r="Y27" s="25"/>
      <c r="Z27" s="25"/>
      <c r="AA27" s="25"/>
      <c r="AB27" s="25"/>
      <c r="AC27" s="19"/>
      <c r="AD27" s="21">
        <f t="shared" si="5"/>
        <v>0</v>
      </c>
      <c r="AE27" s="26"/>
    </row>
    <row r="28" ht="15.75" customHeight="1">
      <c r="A28" s="8"/>
      <c r="B28" s="22" t="s">
        <v>16</v>
      </c>
      <c r="C28" s="23" t="str">
        <f>VLOOKUP(B28,'Lignes Activités'!$A$3:$D$251,2)</f>
        <v>Inter Contrat</v>
      </c>
      <c r="D28" s="24" t="s">
        <v>12</v>
      </c>
      <c r="E28" s="19"/>
      <c r="F28" s="25"/>
      <c r="G28" s="25"/>
      <c r="H28" s="25"/>
      <c r="I28" s="25"/>
      <c r="J28" s="25"/>
      <c r="K28" s="19"/>
      <c r="L28" s="25"/>
      <c r="M28" s="25"/>
      <c r="N28" s="25"/>
      <c r="O28" s="25"/>
      <c r="P28" s="25"/>
      <c r="Q28" s="19"/>
      <c r="R28" s="25"/>
      <c r="S28" s="25"/>
      <c r="T28" s="25"/>
      <c r="U28" s="25"/>
      <c r="V28" s="25"/>
      <c r="W28" s="19"/>
      <c r="X28" s="25"/>
      <c r="Y28" s="25"/>
      <c r="Z28" s="25"/>
      <c r="AA28" s="25"/>
      <c r="AB28" s="25"/>
      <c r="AC28" s="19"/>
      <c r="AD28" s="21">
        <f t="shared" si="5"/>
        <v>0</v>
      </c>
      <c r="AE28" s="26"/>
    </row>
    <row r="29" ht="15.75" customHeight="1">
      <c r="A29" s="8"/>
      <c r="B29" s="27"/>
      <c r="C29" s="23" t="str">
        <f>VLOOKUP(B29,'Lignes Activités'!$A$3:$D$251,2)</f>
        <v>#N/A</v>
      </c>
      <c r="D29" s="24" t="s">
        <v>12</v>
      </c>
      <c r="E29" s="19"/>
      <c r="F29" s="25"/>
      <c r="G29" s="25"/>
      <c r="H29" s="25"/>
      <c r="I29" s="25"/>
      <c r="J29" s="25"/>
      <c r="K29" s="19"/>
      <c r="L29" s="25"/>
      <c r="M29" s="25"/>
      <c r="N29" s="25"/>
      <c r="O29" s="25"/>
      <c r="P29" s="25"/>
      <c r="Q29" s="19"/>
      <c r="R29" s="25"/>
      <c r="S29" s="25"/>
      <c r="T29" s="25"/>
      <c r="U29" s="25"/>
      <c r="V29" s="25"/>
      <c r="W29" s="19"/>
      <c r="X29" s="25"/>
      <c r="Y29" s="25"/>
      <c r="Z29" s="25"/>
      <c r="AA29" s="25"/>
      <c r="AB29" s="25"/>
      <c r="AC29" s="19"/>
      <c r="AD29" s="21">
        <f t="shared" si="5"/>
        <v>0</v>
      </c>
      <c r="AE29" s="26"/>
    </row>
    <row r="30" ht="15.75" customHeight="1">
      <c r="A30" s="8"/>
      <c r="B30" s="27"/>
      <c r="C30" s="23" t="str">
        <f>VLOOKUP(B30,'Lignes Activités'!$A$3:$D$251,2)</f>
        <v>#N/A</v>
      </c>
      <c r="D30" s="24" t="s">
        <v>12</v>
      </c>
      <c r="E30" s="19"/>
      <c r="F30" s="25"/>
      <c r="G30" s="25"/>
      <c r="H30" s="25"/>
      <c r="I30" s="25"/>
      <c r="J30" s="25"/>
      <c r="K30" s="19"/>
      <c r="L30" s="25"/>
      <c r="M30" s="25"/>
      <c r="N30" s="25"/>
      <c r="O30" s="25"/>
      <c r="P30" s="25"/>
      <c r="Q30" s="19"/>
      <c r="R30" s="25"/>
      <c r="S30" s="25"/>
      <c r="T30" s="25"/>
      <c r="U30" s="25"/>
      <c r="V30" s="25"/>
      <c r="W30" s="19"/>
      <c r="X30" s="25"/>
      <c r="Y30" s="25"/>
      <c r="Z30" s="25"/>
      <c r="AA30" s="25"/>
      <c r="AB30" s="25"/>
      <c r="AC30" s="19"/>
      <c r="AD30" s="21">
        <f t="shared" si="5"/>
        <v>0</v>
      </c>
      <c r="AE30" s="26"/>
    </row>
    <row r="31" ht="15.75" customHeight="1">
      <c r="A31" s="30"/>
      <c r="B31" s="27"/>
      <c r="C31" s="23" t="str">
        <f>VLOOKUP(B31,'Lignes Activités'!$A$3:$D$251,2)</f>
        <v>#N/A</v>
      </c>
      <c r="D31" s="24" t="s">
        <v>12</v>
      </c>
      <c r="E31" s="19"/>
      <c r="F31" s="25"/>
      <c r="G31" s="25"/>
      <c r="H31" s="25"/>
      <c r="I31" s="25"/>
      <c r="J31" s="25"/>
      <c r="K31" s="19"/>
      <c r="L31" s="25"/>
      <c r="M31" s="25"/>
      <c r="N31" s="25"/>
      <c r="O31" s="25"/>
      <c r="P31" s="25"/>
      <c r="Q31" s="19"/>
      <c r="R31" s="25"/>
      <c r="S31" s="25"/>
      <c r="T31" s="25"/>
      <c r="U31" s="25"/>
      <c r="V31" s="25"/>
      <c r="W31" s="19"/>
      <c r="X31" s="25"/>
      <c r="Y31" s="25"/>
      <c r="Z31" s="25"/>
      <c r="AA31" s="25"/>
      <c r="AB31" s="25"/>
      <c r="AC31" s="19"/>
      <c r="AD31" s="21">
        <f t="shared" si="5"/>
        <v>0</v>
      </c>
      <c r="AE31" s="26"/>
    </row>
    <row r="32" ht="15.75" hidden="1" customHeight="1">
      <c r="A32" s="31" t="s">
        <v>21</v>
      </c>
      <c r="B32" s="18"/>
      <c r="C32" s="18"/>
      <c r="D32" s="18"/>
      <c r="E32" s="19"/>
      <c r="F32" s="20">
        <f t="shared" ref="F32:J32" si="15">SUM(F33:F40)</f>
        <v>0</v>
      </c>
      <c r="G32" s="20">
        <f t="shared" si="15"/>
        <v>0</v>
      </c>
      <c r="H32" s="20">
        <f t="shared" si="15"/>
        <v>0</v>
      </c>
      <c r="I32" s="20">
        <f t="shared" si="15"/>
        <v>0</v>
      </c>
      <c r="J32" s="20">
        <f t="shared" si="15"/>
        <v>0</v>
      </c>
      <c r="K32" s="19"/>
      <c r="L32" s="20">
        <f t="shared" ref="L32:P32" si="16">SUM(L33:L40)</f>
        <v>0</v>
      </c>
      <c r="M32" s="20">
        <f t="shared" si="16"/>
        <v>0</v>
      </c>
      <c r="N32" s="20">
        <f t="shared" si="16"/>
        <v>0</v>
      </c>
      <c r="O32" s="20">
        <f t="shared" si="16"/>
        <v>0</v>
      </c>
      <c r="P32" s="20">
        <f t="shared" si="16"/>
        <v>0</v>
      </c>
      <c r="Q32" s="19"/>
      <c r="R32" s="20">
        <f t="shared" ref="R32:V32" si="17">SUM(R33:R40)</f>
        <v>0</v>
      </c>
      <c r="S32" s="20">
        <f t="shared" si="17"/>
        <v>0</v>
      </c>
      <c r="T32" s="20">
        <f t="shared" si="17"/>
        <v>0</v>
      </c>
      <c r="U32" s="20">
        <f t="shared" si="17"/>
        <v>0</v>
      </c>
      <c r="V32" s="20">
        <f t="shared" si="17"/>
        <v>0</v>
      </c>
      <c r="W32" s="19"/>
      <c r="X32" s="20">
        <f t="shared" ref="X32:AB32" si="18">SUM(X33:X40)</f>
        <v>0</v>
      </c>
      <c r="Y32" s="20">
        <f t="shared" si="18"/>
        <v>0</v>
      </c>
      <c r="Z32" s="20">
        <f t="shared" si="18"/>
        <v>0</v>
      </c>
      <c r="AA32" s="20">
        <f t="shared" si="18"/>
        <v>0</v>
      </c>
      <c r="AB32" s="20">
        <f t="shared" si="18"/>
        <v>0</v>
      </c>
      <c r="AC32" s="19"/>
      <c r="AD32" s="21">
        <f t="shared" si="5"/>
        <v>0</v>
      </c>
      <c r="AE32" s="7">
        <f>SUM(E32:AA32)</f>
        <v>0</v>
      </c>
    </row>
    <row r="33" ht="15.75" hidden="1" customHeight="1">
      <c r="A33" s="8"/>
      <c r="B33" s="22" t="s">
        <v>11</v>
      </c>
      <c r="C33" s="23" t="str">
        <f>VLOOKUP(B33,'Lignes Activités'!$A$3:$D$251,2)</f>
        <v>#N/A</v>
      </c>
      <c r="D33" s="18" t="s">
        <v>22</v>
      </c>
      <c r="E33" s="19"/>
      <c r="F33" s="25"/>
      <c r="G33" s="25"/>
      <c r="H33" s="25"/>
      <c r="I33" s="25"/>
      <c r="J33" s="25"/>
      <c r="K33" s="19"/>
      <c r="L33" s="25"/>
      <c r="M33" s="25"/>
      <c r="N33" s="25"/>
      <c r="O33" s="25"/>
      <c r="P33" s="25"/>
      <c r="Q33" s="19"/>
      <c r="R33" s="25"/>
      <c r="S33" s="25"/>
      <c r="T33" s="25"/>
      <c r="U33" s="25"/>
      <c r="V33" s="25"/>
      <c r="W33" s="19"/>
      <c r="X33" s="25"/>
      <c r="Y33" s="25"/>
      <c r="Z33" s="25"/>
      <c r="AA33" s="25"/>
      <c r="AB33" s="25"/>
      <c r="AC33" s="19"/>
      <c r="AD33" s="21">
        <f t="shared" si="5"/>
        <v>0</v>
      </c>
      <c r="AE33" s="26"/>
    </row>
    <row r="34" ht="15.75" hidden="1" customHeight="1">
      <c r="A34" s="8"/>
      <c r="B34" s="22" t="s">
        <v>13</v>
      </c>
      <c r="C34" s="23" t="str">
        <f>VLOOKUP(B34,'Lignes Activités'!$A$3:$D$251,2)</f>
        <v>INT_Avant Vente</v>
      </c>
      <c r="D34" s="18" t="s">
        <v>22</v>
      </c>
      <c r="E34" s="19"/>
      <c r="F34" s="25"/>
      <c r="G34" s="25"/>
      <c r="H34" s="25"/>
      <c r="I34" s="25"/>
      <c r="J34" s="25"/>
      <c r="K34" s="19"/>
      <c r="L34" s="25"/>
      <c r="M34" s="25"/>
      <c r="N34" s="25"/>
      <c r="O34" s="25"/>
      <c r="P34" s="25"/>
      <c r="Q34" s="19"/>
      <c r="R34" s="25"/>
      <c r="S34" s="25"/>
      <c r="T34" s="25"/>
      <c r="U34" s="25"/>
      <c r="V34" s="25"/>
      <c r="W34" s="19"/>
      <c r="X34" s="25"/>
      <c r="Y34" s="25"/>
      <c r="Z34" s="25"/>
      <c r="AA34" s="25"/>
      <c r="AB34" s="25"/>
      <c r="AC34" s="19"/>
      <c r="AD34" s="21">
        <f t="shared" si="5"/>
        <v>0</v>
      </c>
      <c r="AE34" s="26"/>
    </row>
    <row r="35" ht="15.75" hidden="1" customHeight="1">
      <c r="A35" s="8"/>
      <c r="B35" s="22" t="s">
        <v>14</v>
      </c>
      <c r="C35" s="23" t="str">
        <f>VLOOKUP(B35,'Lignes Activités'!$A$3:$D$251,2)</f>
        <v>INT_Formation</v>
      </c>
      <c r="D35" s="18" t="s">
        <v>22</v>
      </c>
      <c r="E35" s="19"/>
      <c r="F35" s="25"/>
      <c r="G35" s="25"/>
      <c r="H35" s="25"/>
      <c r="I35" s="25"/>
      <c r="J35" s="25"/>
      <c r="K35" s="19"/>
      <c r="L35" s="25"/>
      <c r="M35" s="25"/>
      <c r="N35" s="25"/>
      <c r="O35" s="25"/>
      <c r="P35" s="25"/>
      <c r="Q35" s="19"/>
      <c r="R35" s="25"/>
      <c r="S35" s="25"/>
      <c r="T35" s="25"/>
      <c r="U35" s="25"/>
      <c r="V35" s="25"/>
      <c r="W35" s="19"/>
      <c r="X35" s="25"/>
      <c r="Y35" s="25"/>
      <c r="Z35" s="25"/>
      <c r="AA35" s="25"/>
      <c r="AB35" s="25"/>
      <c r="AC35" s="19"/>
      <c r="AD35" s="21">
        <f t="shared" si="5"/>
        <v>0</v>
      </c>
      <c r="AE35" s="26"/>
    </row>
    <row r="36" ht="15.75" hidden="1" customHeight="1">
      <c r="A36" s="8"/>
      <c r="B36" s="22" t="s">
        <v>15</v>
      </c>
      <c r="C36" s="23" t="str">
        <f>VLOOKUP(B36,'Lignes Activités'!$A$3:$D$251,2)</f>
        <v>INT_Pôle (AV, RH, Formation, …)</v>
      </c>
      <c r="D36" s="18" t="s">
        <v>22</v>
      </c>
      <c r="E36" s="19"/>
      <c r="F36" s="25"/>
      <c r="G36" s="25"/>
      <c r="H36" s="25"/>
      <c r="I36" s="25"/>
      <c r="J36" s="25"/>
      <c r="K36" s="19"/>
      <c r="L36" s="25"/>
      <c r="M36" s="25"/>
      <c r="N36" s="25"/>
      <c r="O36" s="25"/>
      <c r="P36" s="25"/>
      <c r="Q36" s="19"/>
      <c r="R36" s="25"/>
      <c r="S36" s="25"/>
      <c r="T36" s="25"/>
      <c r="U36" s="25"/>
      <c r="V36" s="25"/>
      <c r="W36" s="19"/>
      <c r="X36" s="25"/>
      <c r="Y36" s="25"/>
      <c r="Z36" s="25"/>
      <c r="AA36" s="25"/>
      <c r="AB36" s="25"/>
      <c r="AC36" s="19"/>
      <c r="AD36" s="21">
        <f t="shared" si="5"/>
        <v>0</v>
      </c>
      <c r="AE36" s="26"/>
    </row>
    <row r="37" ht="15.75" hidden="1" customHeight="1">
      <c r="A37" s="8"/>
      <c r="B37" s="22" t="s">
        <v>16</v>
      </c>
      <c r="C37" s="23" t="str">
        <f>VLOOKUP(B37,'Lignes Activités'!$A$3:$D$251,2)</f>
        <v>Inter Contrat</v>
      </c>
      <c r="D37" s="18" t="s">
        <v>22</v>
      </c>
      <c r="E37" s="19"/>
      <c r="F37" s="25"/>
      <c r="G37" s="25"/>
      <c r="H37" s="25"/>
      <c r="I37" s="25"/>
      <c r="J37" s="25"/>
      <c r="K37" s="19"/>
      <c r="L37" s="25"/>
      <c r="M37" s="25"/>
      <c r="N37" s="25"/>
      <c r="O37" s="25"/>
      <c r="P37" s="25"/>
      <c r="Q37" s="19"/>
      <c r="R37" s="25"/>
      <c r="S37" s="25"/>
      <c r="T37" s="25"/>
      <c r="U37" s="25"/>
      <c r="V37" s="25"/>
      <c r="W37" s="19"/>
      <c r="X37" s="25"/>
      <c r="Y37" s="25"/>
      <c r="Z37" s="25"/>
      <c r="AA37" s="25"/>
      <c r="AB37" s="25"/>
      <c r="AC37" s="19"/>
      <c r="AD37" s="21">
        <f t="shared" si="5"/>
        <v>0</v>
      </c>
      <c r="AE37" s="26"/>
    </row>
    <row r="38" ht="15.75" hidden="1" customHeight="1">
      <c r="A38" s="8"/>
      <c r="B38" s="27"/>
      <c r="C38" s="23" t="str">
        <f>VLOOKUP(B38,'Lignes Activités'!$A$3:$D$251,2)</f>
        <v>#N/A</v>
      </c>
      <c r="D38" s="18" t="s">
        <v>22</v>
      </c>
      <c r="E38" s="19"/>
      <c r="F38" s="25"/>
      <c r="G38" s="25"/>
      <c r="H38" s="25"/>
      <c r="I38" s="25"/>
      <c r="J38" s="25"/>
      <c r="K38" s="19"/>
      <c r="L38" s="25"/>
      <c r="M38" s="25"/>
      <c r="N38" s="25"/>
      <c r="O38" s="25"/>
      <c r="P38" s="25"/>
      <c r="Q38" s="19"/>
      <c r="R38" s="25"/>
      <c r="S38" s="25"/>
      <c r="T38" s="25"/>
      <c r="U38" s="25"/>
      <c r="V38" s="25"/>
      <c r="W38" s="19"/>
      <c r="X38" s="25"/>
      <c r="Y38" s="25"/>
      <c r="Z38" s="25"/>
      <c r="AA38" s="25"/>
      <c r="AB38" s="25"/>
      <c r="AC38" s="19"/>
      <c r="AD38" s="21">
        <f t="shared" si="5"/>
        <v>0</v>
      </c>
      <c r="AE38" s="26"/>
    </row>
    <row r="39" ht="15.75" hidden="1" customHeight="1">
      <c r="A39" s="8"/>
      <c r="B39" s="27"/>
      <c r="C39" s="23" t="str">
        <f>VLOOKUP(B39,'Lignes Activités'!$A$3:$D$251,2)</f>
        <v>#N/A</v>
      </c>
      <c r="D39" s="18" t="s">
        <v>22</v>
      </c>
      <c r="E39" s="19"/>
      <c r="F39" s="25"/>
      <c r="G39" s="25"/>
      <c r="H39" s="25"/>
      <c r="I39" s="25"/>
      <c r="J39" s="25"/>
      <c r="K39" s="19"/>
      <c r="L39" s="25"/>
      <c r="M39" s="25"/>
      <c r="N39" s="25"/>
      <c r="O39" s="25"/>
      <c r="P39" s="25"/>
      <c r="Q39" s="19"/>
      <c r="R39" s="25"/>
      <c r="S39" s="25"/>
      <c r="T39" s="25"/>
      <c r="U39" s="25"/>
      <c r="V39" s="25"/>
      <c r="W39" s="19"/>
      <c r="X39" s="25"/>
      <c r="Y39" s="25"/>
      <c r="Z39" s="25"/>
      <c r="AA39" s="25"/>
      <c r="AB39" s="25"/>
      <c r="AC39" s="19"/>
      <c r="AD39" s="21">
        <f t="shared" si="5"/>
        <v>0</v>
      </c>
      <c r="AE39" s="26"/>
    </row>
    <row r="40" ht="15.75" hidden="1" customHeight="1">
      <c r="A40" s="8"/>
      <c r="B40" s="27"/>
      <c r="C40" s="23" t="str">
        <f>VLOOKUP(B40,'Lignes Activités'!$A$3:$D$251,2)</f>
        <v>#N/A</v>
      </c>
      <c r="D40" s="18" t="s">
        <v>22</v>
      </c>
      <c r="E40" s="19"/>
      <c r="F40" s="25"/>
      <c r="G40" s="25"/>
      <c r="H40" s="25"/>
      <c r="I40" s="25"/>
      <c r="J40" s="25"/>
      <c r="K40" s="19"/>
      <c r="L40" s="25"/>
      <c r="M40" s="25"/>
      <c r="N40" s="25"/>
      <c r="O40" s="25"/>
      <c r="P40" s="25"/>
      <c r="Q40" s="19"/>
      <c r="R40" s="25"/>
      <c r="S40" s="25"/>
      <c r="T40" s="25"/>
      <c r="U40" s="25"/>
      <c r="V40" s="25"/>
      <c r="W40" s="19"/>
      <c r="X40" s="25"/>
      <c r="Y40" s="25"/>
      <c r="Z40" s="25"/>
      <c r="AA40" s="25"/>
      <c r="AB40" s="25"/>
      <c r="AC40" s="19"/>
      <c r="AD40" s="21">
        <f t="shared" si="5"/>
        <v>0</v>
      </c>
      <c r="AE40" s="26"/>
    </row>
    <row r="41" ht="15.75" customHeight="1">
      <c r="A41" s="32"/>
      <c r="E41" s="33"/>
      <c r="K41" s="33"/>
      <c r="Q41" s="33"/>
      <c r="W41" s="33"/>
      <c r="AC41" s="33"/>
      <c r="AD41" s="34"/>
      <c r="AE41" s="34"/>
    </row>
    <row r="42" ht="15.75" customHeight="1">
      <c r="A42" s="32"/>
      <c r="E42" s="33"/>
      <c r="K42" s="33"/>
      <c r="Q42" s="33"/>
      <c r="W42" s="33"/>
      <c r="AC42" s="33"/>
      <c r="AD42" s="34"/>
      <c r="AE42" s="34"/>
    </row>
    <row r="43" ht="15.75" customHeight="1">
      <c r="A43" s="32"/>
      <c r="E43" s="33"/>
      <c r="K43" s="33"/>
      <c r="Q43" s="33"/>
      <c r="W43" s="33"/>
      <c r="AC43" s="33"/>
      <c r="AD43" s="34"/>
      <c r="AE43" s="34"/>
    </row>
    <row r="44" ht="15.75" customHeight="1">
      <c r="A44" s="32"/>
      <c r="E44" s="33"/>
      <c r="K44" s="33"/>
      <c r="Q44" s="33"/>
      <c r="W44" s="33"/>
      <c r="AC44" s="33"/>
      <c r="AD44" s="34"/>
      <c r="AE44" s="34"/>
    </row>
    <row r="45" ht="15.75" customHeight="1">
      <c r="A45" s="32"/>
      <c r="E45" s="33"/>
      <c r="K45" s="33"/>
      <c r="Q45" s="33"/>
      <c r="W45" s="33"/>
      <c r="AC45" s="33"/>
      <c r="AD45" s="34"/>
      <c r="AE45" s="34"/>
    </row>
    <row r="46" ht="15.75" customHeight="1">
      <c r="A46" s="32"/>
      <c r="E46" s="33"/>
      <c r="K46" s="33"/>
      <c r="Q46" s="33"/>
      <c r="W46" s="33"/>
      <c r="AC46" s="33"/>
      <c r="AD46" s="34"/>
      <c r="AE46" s="34"/>
    </row>
    <row r="47" ht="15.75" customHeight="1">
      <c r="A47" s="32"/>
      <c r="E47" s="33"/>
      <c r="K47" s="33"/>
      <c r="Q47" s="33"/>
      <c r="W47" s="33"/>
      <c r="AC47" s="33"/>
      <c r="AD47" s="34"/>
      <c r="AE47" s="34"/>
    </row>
    <row r="48" ht="15.75" customHeight="1">
      <c r="A48" s="32"/>
      <c r="E48" s="33"/>
      <c r="K48" s="33"/>
      <c r="Q48" s="33"/>
      <c r="W48" s="33"/>
      <c r="AC48" s="33"/>
      <c r="AD48" s="34"/>
      <c r="AE48" s="34"/>
    </row>
    <row r="49" ht="15.75" customHeight="1">
      <c r="A49" s="32"/>
      <c r="E49" s="33"/>
      <c r="K49" s="33"/>
      <c r="Q49" s="33"/>
      <c r="W49" s="33"/>
      <c r="AC49" s="33"/>
      <c r="AD49" s="34"/>
      <c r="AE49" s="34"/>
    </row>
    <row r="50" ht="15.75" customHeight="1">
      <c r="A50" s="32"/>
      <c r="E50" s="33"/>
      <c r="K50" s="33"/>
      <c r="Q50" s="33"/>
      <c r="W50" s="33"/>
      <c r="AC50" s="33"/>
      <c r="AD50" s="34"/>
      <c r="AE50" s="34"/>
    </row>
    <row r="51" ht="15.75" customHeight="1">
      <c r="A51" s="32"/>
      <c r="E51" s="33"/>
      <c r="K51" s="33"/>
      <c r="Q51" s="33"/>
      <c r="W51" s="33"/>
      <c r="AC51" s="33"/>
      <c r="AD51" s="34"/>
      <c r="AE51" s="34"/>
    </row>
    <row r="52" ht="15.75" customHeight="1">
      <c r="A52" s="32"/>
      <c r="E52" s="33"/>
      <c r="K52" s="33"/>
      <c r="Q52" s="33"/>
      <c r="W52" s="33"/>
      <c r="AC52" s="33"/>
      <c r="AD52" s="34"/>
      <c r="AE52" s="34"/>
    </row>
    <row r="53" ht="15.75" customHeight="1">
      <c r="A53" s="32"/>
      <c r="E53" s="33"/>
      <c r="K53" s="33"/>
      <c r="Q53" s="33"/>
      <c r="W53" s="33"/>
      <c r="AC53" s="33"/>
      <c r="AD53" s="34"/>
      <c r="AE53" s="34"/>
    </row>
    <row r="54" ht="15.75" customHeight="1">
      <c r="A54" s="32"/>
      <c r="E54" s="33"/>
      <c r="K54" s="33"/>
      <c r="Q54" s="33"/>
      <c r="W54" s="33"/>
      <c r="AC54" s="33"/>
      <c r="AD54" s="34"/>
      <c r="AE54" s="34"/>
    </row>
    <row r="55" ht="15.75" customHeight="1">
      <c r="A55" s="32"/>
      <c r="E55" s="33"/>
      <c r="K55" s="33"/>
      <c r="Q55" s="33"/>
      <c r="W55" s="33"/>
      <c r="AC55" s="33"/>
      <c r="AD55" s="34"/>
      <c r="AE55" s="34"/>
    </row>
    <row r="56" ht="15.75" customHeight="1">
      <c r="A56" s="32"/>
      <c r="E56" s="33"/>
      <c r="K56" s="33"/>
      <c r="Q56" s="33"/>
      <c r="W56" s="33"/>
      <c r="AC56" s="33"/>
      <c r="AD56" s="34"/>
      <c r="AE56" s="34"/>
    </row>
    <row r="57" ht="15.75" customHeight="1">
      <c r="A57" s="32"/>
      <c r="E57" s="33"/>
      <c r="K57" s="33"/>
      <c r="Q57" s="33"/>
      <c r="W57" s="33"/>
      <c r="AC57" s="33"/>
      <c r="AD57" s="34"/>
      <c r="AE57" s="34"/>
    </row>
    <row r="58" ht="15.75" customHeight="1">
      <c r="A58" s="32"/>
      <c r="E58" s="33"/>
      <c r="K58" s="33"/>
      <c r="Q58" s="33"/>
      <c r="W58" s="33"/>
      <c r="AC58" s="33"/>
      <c r="AD58" s="34"/>
      <c r="AE58" s="34"/>
    </row>
    <row r="59" ht="15.75" customHeight="1">
      <c r="A59" s="32"/>
      <c r="E59" s="33"/>
      <c r="K59" s="33"/>
      <c r="Q59" s="33"/>
      <c r="W59" s="33"/>
      <c r="AC59" s="33"/>
      <c r="AD59" s="34"/>
      <c r="AE59" s="34"/>
    </row>
    <row r="60" ht="15.75" customHeight="1">
      <c r="A60" s="32"/>
      <c r="E60" s="33"/>
      <c r="K60" s="33"/>
      <c r="Q60" s="33"/>
      <c r="W60" s="33"/>
      <c r="AC60" s="33"/>
      <c r="AD60" s="34"/>
      <c r="AE60" s="34"/>
    </row>
    <row r="61" ht="15.75" customHeight="1">
      <c r="A61" s="32"/>
      <c r="E61" s="33"/>
      <c r="K61" s="33"/>
      <c r="Q61" s="33"/>
      <c r="W61" s="33"/>
      <c r="AC61" s="33"/>
      <c r="AD61" s="34"/>
      <c r="AE61" s="34"/>
    </row>
    <row r="62" ht="15.75" customHeight="1">
      <c r="A62" s="32"/>
      <c r="E62" s="33"/>
      <c r="K62" s="33"/>
      <c r="Q62" s="33"/>
      <c r="W62" s="33"/>
      <c r="AC62" s="33"/>
      <c r="AD62" s="34"/>
      <c r="AE62" s="34"/>
    </row>
    <row r="63" ht="15.75" customHeight="1">
      <c r="A63" s="32"/>
      <c r="E63" s="33"/>
      <c r="K63" s="33"/>
      <c r="Q63" s="33"/>
      <c r="W63" s="33"/>
      <c r="AC63" s="33"/>
      <c r="AD63" s="34"/>
      <c r="AE63" s="34"/>
    </row>
    <row r="64" ht="15.75" customHeight="1">
      <c r="A64" s="32"/>
      <c r="E64" s="33"/>
      <c r="K64" s="33"/>
      <c r="Q64" s="33"/>
      <c r="W64" s="33"/>
      <c r="AC64" s="33"/>
      <c r="AD64" s="34"/>
      <c r="AE64" s="34"/>
    </row>
    <row r="65" ht="15.75" customHeight="1">
      <c r="A65" s="32"/>
      <c r="E65" s="33"/>
      <c r="K65" s="33"/>
      <c r="Q65" s="33"/>
      <c r="W65" s="33"/>
      <c r="AC65" s="33"/>
      <c r="AD65" s="34"/>
      <c r="AE65" s="34"/>
    </row>
    <row r="66" ht="15.75" customHeight="1">
      <c r="A66" s="32"/>
      <c r="E66" s="33"/>
      <c r="K66" s="33"/>
      <c r="Q66" s="33"/>
      <c r="W66" s="33"/>
      <c r="AC66" s="33"/>
      <c r="AD66" s="34"/>
      <c r="AE66" s="34"/>
    </row>
    <row r="67" ht="15.75" customHeight="1">
      <c r="A67" s="32"/>
      <c r="E67" s="33"/>
      <c r="K67" s="33"/>
      <c r="Q67" s="33"/>
      <c r="W67" s="33"/>
      <c r="AC67" s="33"/>
      <c r="AD67" s="34"/>
      <c r="AE67" s="34"/>
    </row>
    <row r="68" ht="15.75" customHeight="1">
      <c r="A68" s="32"/>
      <c r="E68" s="33"/>
      <c r="K68" s="33"/>
      <c r="Q68" s="33"/>
      <c r="W68" s="33"/>
      <c r="AC68" s="33"/>
      <c r="AD68" s="34"/>
      <c r="AE68" s="34"/>
    </row>
    <row r="69" ht="15.75" customHeight="1">
      <c r="A69" s="32"/>
      <c r="E69" s="33"/>
      <c r="K69" s="33"/>
      <c r="Q69" s="33"/>
      <c r="W69" s="33"/>
      <c r="AC69" s="33"/>
      <c r="AD69" s="34"/>
      <c r="AE69" s="34"/>
    </row>
    <row r="70" ht="15.75" customHeight="1">
      <c r="A70" s="32"/>
      <c r="E70" s="33"/>
      <c r="K70" s="33"/>
      <c r="Q70" s="33"/>
      <c r="W70" s="33"/>
      <c r="AC70" s="33"/>
      <c r="AD70" s="34"/>
      <c r="AE70" s="34"/>
    </row>
    <row r="71" ht="15.75" customHeight="1">
      <c r="A71" s="32"/>
      <c r="E71" s="33"/>
      <c r="K71" s="33"/>
      <c r="Q71" s="33"/>
      <c r="W71" s="33"/>
      <c r="AC71" s="33"/>
      <c r="AD71" s="34"/>
      <c r="AE71" s="34"/>
    </row>
    <row r="72" ht="15.75" customHeight="1">
      <c r="A72" s="32"/>
      <c r="E72" s="33"/>
      <c r="K72" s="33"/>
      <c r="Q72" s="33"/>
      <c r="W72" s="33"/>
      <c r="AC72" s="33"/>
      <c r="AD72" s="34"/>
      <c r="AE72" s="34"/>
    </row>
    <row r="73" ht="15.75" customHeight="1">
      <c r="A73" s="32"/>
      <c r="E73" s="33"/>
      <c r="K73" s="33"/>
      <c r="Q73" s="33"/>
      <c r="W73" s="33"/>
      <c r="AC73" s="33"/>
      <c r="AD73" s="34"/>
      <c r="AE73" s="34"/>
    </row>
    <row r="74" ht="15.75" customHeight="1">
      <c r="A74" s="32"/>
      <c r="E74" s="33"/>
      <c r="K74" s="33"/>
      <c r="Q74" s="33"/>
      <c r="W74" s="33"/>
      <c r="AC74" s="33"/>
      <c r="AD74" s="34"/>
      <c r="AE74" s="34"/>
    </row>
    <row r="75" ht="15.75" customHeight="1">
      <c r="A75" s="32"/>
      <c r="E75" s="33"/>
      <c r="K75" s="33"/>
      <c r="Q75" s="33"/>
      <c r="W75" s="33"/>
      <c r="AC75" s="33"/>
      <c r="AD75" s="34"/>
      <c r="AE75" s="34"/>
    </row>
    <row r="76" ht="15.75" customHeight="1">
      <c r="A76" s="32"/>
      <c r="E76" s="33"/>
      <c r="K76" s="33"/>
      <c r="Q76" s="33"/>
      <c r="W76" s="33"/>
      <c r="AC76" s="33"/>
      <c r="AD76" s="34"/>
      <c r="AE76" s="34"/>
    </row>
    <row r="77" ht="15.75" customHeight="1">
      <c r="A77" s="32"/>
      <c r="E77" s="33"/>
      <c r="K77" s="33"/>
      <c r="Q77" s="33"/>
      <c r="W77" s="33"/>
      <c r="AC77" s="33"/>
      <c r="AD77" s="34"/>
      <c r="AE77" s="34"/>
    </row>
    <row r="78" ht="15.75" customHeight="1">
      <c r="A78" s="32"/>
      <c r="E78" s="33"/>
      <c r="K78" s="33"/>
      <c r="Q78" s="33"/>
      <c r="W78" s="33"/>
      <c r="AC78" s="33"/>
      <c r="AD78" s="34"/>
      <c r="AE78" s="34"/>
    </row>
    <row r="79" ht="15.75" customHeight="1">
      <c r="A79" s="32"/>
      <c r="E79" s="33"/>
      <c r="K79" s="33"/>
      <c r="Q79" s="33"/>
      <c r="W79" s="33"/>
      <c r="AC79" s="33"/>
      <c r="AD79" s="34"/>
      <c r="AE79" s="34"/>
    </row>
    <row r="80" ht="15.75" customHeight="1">
      <c r="A80" s="32"/>
      <c r="E80" s="33"/>
      <c r="K80" s="33"/>
      <c r="Q80" s="33"/>
      <c r="W80" s="33"/>
      <c r="AC80" s="33"/>
      <c r="AD80" s="34"/>
      <c r="AE80" s="34"/>
    </row>
    <row r="81" ht="15.75" customHeight="1">
      <c r="A81" s="32"/>
      <c r="E81" s="33"/>
      <c r="K81" s="33"/>
      <c r="Q81" s="33"/>
      <c r="W81" s="33"/>
      <c r="AC81" s="33"/>
      <c r="AD81" s="34"/>
      <c r="AE81" s="34"/>
    </row>
    <row r="82" ht="15.75" customHeight="1">
      <c r="A82" s="32"/>
      <c r="E82" s="33"/>
      <c r="K82" s="33"/>
      <c r="Q82" s="33"/>
      <c r="W82" s="33"/>
      <c r="AC82" s="33"/>
      <c r="AD82" s="34"/>
      <c r="AE82" s="34"/>
    </row>
    <row r="83" ht="15.75" customHeight="1">
      <c r="A83" s="32"/>
      <c r="E83" s="33"/>
      <c r="K83" s="33"/>
      <c r="Q83" s="33"/>
      <c r="W83" s="33"/>
      <c r="AC83" s="33"/>
      <c r="AD83" s="34"/>
      <c r="AE83" s="34"/>
    </row>
    <row r="84" ht="15.75" customHeight="1">
      <c r="A84" s="32"/>
      <c r="E84" s="33"/>
      <c r="K84" s="33"/>
      <c r="Q84" s="33"/>
      <c r="W84" s="33"/>
      <c r="AC84" s="33"/>
      <c r="AD84" s="34"/>
      <c r="AE84" s="34"/>
    </row>
    <row r="85" ht="15.75" customHeight="1">
      <c r="A85" s="32"/>
      <c r="E85" s="33"/>
      <c r="K85" s="33"/>
      <c r="Q85" s="33"/>
      <c r="W85" s="33"/>
      <c r="AC85" s="33"/>
      <c r="AD85" s="34"/>
      <c r="AE85" s="34"/>
    </row>
    <row r="86" ht="15.75" customHeight="1">
      <c r="A86" s="32"/>
      <c r="E86" s="33"/>
      <c r="K86" s="33"/>
      <c r="Q86" s="33"/>
      <c r="W86" s="33"/>
      <c r="AC86" s="33"/>
      <c r="AD86" s="34"/>
      <c r="AE86" s="34"/>
    </row>
    <row r="87" ht="15.75" customHeight="1">
      <c r="A87" s="32"/>
      <c r="E87" s="33"/>
      <c r="K87" s="33"/>
      <c r="Q87" s="33"/>
      <c r="W87" s="33"/>
      <c r="AC87" s="33"/>
      <c r="AD87" s="34"/>
      <c r="AE87" s="34"/>
    </row>
    <row r="88" ht="15.75" customHeight="1">
      <c r="A88" s="32"/>
      <c r="E88" s="33"/>
      <c r="K88" s="33"/>
      <c r="Q88" s="33"/>
      <c r="W88" s="33"/>
      <c r="AC88" s="33"/>
      <c r="AD88" s="34"/>
      <c r="AE88" s="34"/>
    </row>
    <row r="89" ht="15.75" customHeight="1">
      <c r="A89" s="32"/>
      <c r="E89" s="33"/>
      <c r="K89" s="33"/>
      <c r="Q89" s="33"/>
      <c r="W89" s="33"/>
      <c r="AC89" s="33"/>
      <c r="AD89" s="34"/>
      <c r="AE89" s="34"/>
    </row>
    <row r="90" ht="15.75" customHeight="1">
      <c r="A90" s="32"/>
      <c r="E90" s="33"/>
      <c r="K90" s="33"/>
      <c r="Q90" s="33"/>
      <c r="W90" s="33"/>
      <c r="AC90" s="33"/>
      <c r="AD90" s="34"/>
      <c r="AE90" s="34"/>
    </row>
    <row r="91" ht="15.75" customHeight="1">
      <c r="A91" s="32"/>
      <c r="E91" s="33"/>
      <c r="K91" s="33"/>
      <c r="Q91" s="33"/>
      <c r="W91" s="33"/>
      <c r="AC91" s="33"/>
      <c r="AD91" s="34"/>
      <c r="AE91" s="34"/>
    </row>
    <row r="92" ht="15.75" customHeight="1">
      <c r="A92" s="32"/>
      <c r="E92" s="33"/>
      <c r="K92" s="33"/>
      <c r="Q92" s="33"/>
      <c r="W92" s="33"/>
      <c r="AC92" s="33"/>
      <c r="AD92" s="34"/>
      <c r="AE92" s="34"/>
    </row>
    <row r="93" ht="15.75" customHeight="1">
      <c r="A93" s="32"/>
      <c r="E93" s="33"/>
      <c r="K93" s="33"/>
      <c r="Q93" s="33"/>
      <c r="W93" s="33"/>
      <c r="AC93" s="33"/>
      <c r="AD93" s="34"/>
      <c r="AE93" s="34"/>
    </row>
    <row r="94" ht="15.75" customHeight="1">
      <c r="A94" s="32"/>
      <c r="E94" s="33"/>
      <c r="K94" s="33"/>
      <c r="Q94" s="33"/>
      <c r="W94" s="33"/>
      <c r="AC94" s="33"/>
      <c r="AD94" s="34"/>
      <c r="AE94" s="34"/>
    </row>
    <row r="95" ht="15.75" customHeight="1">
      <c r="A95" s="32"/>
      <c r="E95" s="33"/>
      <c r="K95" s="33"/>
      <c r="Q95" s="33"/>
      <c r="W95" s="33"/>
      <c r="AC95" s="33"/>
      <c r="AD95" s="34"/>
      <c r="AE95" s="34"/>
    </row>
    <row r="96" ht="15.75" customHeight="1">
      <c r="A96" s="32"/>
      <c r="E96" s="33"/>
      <c r="K96" s="33"/>
      <c r="Q96" s="33"/>
      <c r="W96" s="33"/>
      <c r="AC96" s="33"/>
      <c r="AD96" s="34"/>
      <c r="AE96" s="34"/>
    </row>
    <row r="97" ht="15.75" customHeight="1">
      <c r="A97" s="32"/>
      <c r="E97" s="33"/>
      <c r="K97" s="33"/>
      <c r="Q97" s="33"/>
      <c r="W97" s="33"/>
      <c r="AC97" s="33"/>
      <c r="AD97" s="34"/>
      <c r="AE97" s="34"/>
    </row>
    <row r="98" ht="15.75" customHeight="1">
      <c r="A98" s="32"/>
      <c r="E98" s="33"/>
      <c r="K98" s="33"/>
      <c r="Q98" s="33"/>
      <c r="W98" s="33"/>
      <c r="AC98" s="33"/>
      <c r="AD98" s="34"/>
      <c r="AE98" s="34"/>
    </row>
    <row r="99" ht="15.75" customHeight="1">
      <c r="A99" s="32"/>
      <c r="E99" s="33"/>
      <c r="K99" s="33"/>
      <c r="Q99" s="33"/>
      <c r="W99" s="33"/>
      <c r="AC99" s="33"/>
      <c r="AD99" s="34"/>
      <c r="AE99" s="34"/>
    </row>
    <row r="100" ht="15.75" customHeight="1">
      <c r="A100" s="32"/>
      <c r="E100" s="33"/>
      <c r="K100" s="33"/>
      <c r="Q100" s="33"/>
      <c r="W100" s="33"/>
      <c r="AC100" s="33"/>
      <c r="AD100" s="34"/>
      <c r="AE100" s="34"/>
    </row>
    <row r="101" ht="15.75" customHeight="1">
      <c r="A101" s="32"/>
      <c r="E101" s="33"/>
      <c r="K101" s="33"/>
      <c r="Q101" s="33"/>
      <c r="W101" s="33"/>
      <c r="AC101" s="33"/>
      <c r="AD101" s="34"/>
      <c r="AE101" s="34"/>
    </row>
    <row r="102" ht="15.75" customHeight="1">
      <c r="A102" s="32"/>
      <c r="E102" s="33"/>
      <c r="K102" s="33"/>
      <c r="Q102" s="33"/>
      <c r="W102" s="33"/>
      <c r="AC102" s="33"/>
      <c r="AD102" s="34"/>
      <c r="AE102" s="34"/>
    </row>
    <row r="103" ht="15.75" customHeight="1">
      <c r="A103" s="32"/>
      <c r="E103" s="33"/>
      <c r="K103" s="33"/>
      <c r="Q103" s="33"/>
      <c r="W103" s="33"/>
      <c r="AC103" s="33"/>
      <c r="AD103" s="34"/>
      <c r="AE103" s="34"/>
    </row>
    <row r="104" ht="15.75" customHeight="1">
      <c r="A104" s="32"/>
      <c r="E104" s="33"/>
      <c r="K104" s="33"/>
      <c r="Q104" s="33"/>
      <c r="W104" s="33"/>
      <c r="AC104" s="33"/>
      <c r="AD104" s="34"/>
      <c r="AE104" s="34"/>
    </row>
    <row r="105" ht="15.75" customHeight="1">
      <c r="A105" s="32"/>
      <c r="E105" s="33"/>
      <c r="K105" s="33"/>
      <c r="Q105" s="33"/>
      <c r="W105" s="33"/>
      <c r="AC105" s="33"/>
      <c r="AD105" s="34"/>
      <c r="AE105" s="34"/>
    </row>
    <row r="106" ht="15.75" customHeight="1">
      <c r="A106" s="32"/>
      <c r="E106" s="33"/>
      <c r="K106" s="33"/>
      <c r="Q106" s="33"/>
      <c r="W106" s="33"/>
      <c r="AC106" s="33"/>
      <c r="AD106" s="34"/>
      <c r="AE106" s="34"/>
    </row>
    <row r="107" ht="15.75" customHeight="1">
      <c r="A107" s="32"/>
      <c r="E107" s="33"/>
      <c r="K107" s="33"/>
      <c r="Q107" s="33"/>
      <c r="W107" s="33"/>
      <c r="AC107" s="33"/>
      <c r="AD107" s="34"/>
      <c r="AE107" s="34"/>
    </row>
    <row r="108" ht="15.75" customHeight="1">
      <c r="A108" s="32"/>
      <c r="E108" s="33"/>
      <c r="K108" s="33"/>
      <c r="Q108" s="33"/>
      <c r="W108" s="33"/>
      <c r="AC108" s="33"/>
      <c r="AD108" s="34"/>
      <c r="AE108" s="34"/>
    </row>
    <row r="109" ht="15.75" customHeight="1">
      <c r="A109" s="32"/>
      <c r="E109" s="33"/>
      <c r="K109" s="33"/>
      <c r="Q109" s="33"/>
      <c r="W109" s="33"/>
      <c r="AC109" s="33"/>
      <c r="AD109" s="34"/>
      <c r="AE109" s="34"/>
    </row>
    <row r="110" ht="15.75" customHeight="1">
      <c r="A110" s="32"/>
      <c r="E110" s="33"/>
      <c r="K110" s="33"/>
      <c r="Q110" s="33"/>
      <c r="W110" s="33"/>
      <c r="AC110" s="33"/>
      <c r="AD110" s="34"/>
      <c r="AE110" s="34"/>
    </row>
    <row r="111" ht="15.75" customHeight="1">
      <c r="A111" s="32"/>
      <c r="E111" s="33"/>
      <c r="K111" s="33"/>
      <c r="Q111" s="33"/>
      <c r="W111" s="33"/>
      <c r="AC111" s="33"/>
      <c r="AD111" s="34"/>
      <c r="AE111" s="34"/>
    </row>
    <row r="112" ht="15.75" customHeight="1">
      <c r="A112" s="32"/>
      <c r="E112" s="33"/>
      <c r="K112" s="33"/>
      <c r="Q112" s="33"/>
      <c r="W112" s="33"/>
      <c r="AC112" s="33"/>
      <c r="AD112" s="34"/>
      <c r="AE112" s="34"/>
    </row>
    <row r="113" ht="15.75" customHeight="1">
      <c r="A113" s="32"/>
      <c r="E113" s="33"/>
      <c r="K113" s="33"/>
      <c r="Q113" s="33"/>
      <c r="W113" s="33"/>
      <c r="AC113" s="33"/>
      <c r="AD113" s="34"/>
      <c r="AE113" s="34"/>
    </row>
    <row r="114" ht="15.75" customHeight="1">
      <c r="A114" s="32"/>
      <c r="E114" s="33"/>
      <c r="K114" s="33"/>
      <c r="Q114" s="33"/>
      <c r="W114" s="33"/>
      <c r="AC114" s="33"/>
      <c r="AD114" s="34"/>
      <c r="AE114" s="34"/>
    </row>
    <row r="115" ht="15.75" customHeight="1">
      <c r="A115" s="32"/>
      <c r="E115" s="33"/>
      <c r="K115" s="33"/>
      <c r="Q115" s="33"/>
      <c r="W115" s="33"/>
      <c r="AC115" s="33"/>
      <c r="AD115" s="34"/>
      <c r="AE115" s="34"/>
    </row>
    <row r="116" ht="15.75" customHeight="1">
      <c r="A116" s="32"/>
      <c r="E116" s="33"/>
      <c r="K116" s="33"/>
      <c r="Q116" s="33"/>
      <c r="W116" s="33"/>
      <c r="AC116" s="33"/>
      <c r="AD116" s="34"/>
      <c r="AE116" s="34"/>
    </row>
    <row r="117" ht="15.75" customHeight="1">
      <c r="A117" s="32"/>
      <c r="E117" s="33"/>
      <c r="K117" s="33"/>
      <c r="Q117" s="33"/>
      <c r="W117" s="33"/>
      <c r="AC117" s="33"/>
      <c r="AD117" s="34"/>
      <c r="AE117" s="34"/>
    </row>
    <row r="118" ht="15.75" customHeight="1">
      <c r="A118" s="32"/>
      <c r="E118" s="33"/>
      <c r="K118" s="33"/>
      <c r="Q118" s="33"/>
      <c r="W118" s="33"/>
      <c r="AC118" s="33"/>
      <c r="AD118" s="34"/>
      <c r="AE118" s="34"/>
    </row>
    <row r="119" ht="15.75" customHeight="1">
      <c r="A119" s="32"/>
      <c r="E119" s="33"/>
      <c r="K119" s="33"/>
      <c r="Q119" s="33"/>
      <c r="W119" s="33"/>
      <c r="AC119" s="33"/>
      <c r="AD119" s="34"/>
      <c r="AE119" s="34"/>
    </row>
    <row r="120" ht="15.75" customHeight="1">
      <c r="A120" s="32"/>
      <c r="E120" s="33"/>
      <c r="K120" s="33"/>
      <c r="Q120" s="33"/>
      <c r="W120" s="33"/>
      <c r="AC120" s="33"/>
      <c r="AD120" s="34"/>
      <c r="AE120" s="34"/>
    </row>
    <row r="121" ht="15.75" customHeight="1">
      <c r="A121" s="32"/>
      <c r="E121" s="33"/>
      <c r="K121" s="33"/>
      <c r="Q121" s="33"/>
      <c r="W121" s="33"/>
      <c r="AC121" s="33"/>
      <c r="AD121" s="34"/>
      <c r="AE121" s="34"/>
    </row>
    <row r="122" ht="15.75" customHeight="1">
      <c r="A122" s="32"/>
      <c r="E122" s="33"/>
      <c r="K122" s="33"/>
      <c r="Q122" s="33"/>
      <c r="W122" s="33"/>
      <c r="AC122" s="33"/>
      <c r="AD122" s="34"/>
      <c r="AE122" s="34"/>
    </row>
    <row r="123" ht="15.75" customHeight="1">
      <c r="A123" s="32"/>
      <c r="E123" s="33"/>
      <c r="K123" s="33"/>
      <c r="Q123" s="33"/>
      <c r="W123" s="33"/>
      <c r="AC123" s="33"/>
      <c r="AD123" s="34"/>
      <c r="AE123" s="34"/>
    </row>
    <row r="124" ht="15.75" customHeight="1">
      <c r="A124" s="32"/>
      <c r="E124" s="33"/>
      <c r="K124" s="33"/>
      <c r="Q124" s="33"/>
      <c r="W124" s="33"/>
      <c r="AC124" s="33"/>
      <c r="AD124" s="34"/>
      <c r="AE124" s="34"/>
    </row>
    <row r="125" ht="15.75" customHeight="1">
      <c r="A125" s="32"/>
      <c r="E125" s="33"/>
      <c r="K125" s="33"/>
      <c r="Q125" s="33"/>
      <c r="W125" s="33"/>
      <c r="AC125" s="33"/>
      <c r="AD125" s="34"/>
      <c r="AE125" s="34"/>
    </row>
    <row r="126" ht="15.75" customHeight="1">
      <c r="A126" s="32"/>
      <c r="E126" s="33"/>
      <c r="K126" s="33"/>
      <c r="Q126" s="33"/>
      <c r="W126" s="33"/>
      <c r="AC126" s="33"/>
      <c r="AD126" s="34"/>
      <c r="AE126" s="34"/>
    </row>
    <row r="127" ht="15.75" customHeight="1">
      <c r="A127" s="32"/>
      <c r="E127" s="33"/>
      <c r="K127" s="33"/>
      <c r="Q127" s="33"/>
      <c r="W127" s="33"/>
      <c r="AC127" s="33"/>
      <c r="AD127" s="34"/>
      <c r="AE127" s="34"/>
    </row>
    <row r="128" ht="15.75" customHeight="1">
      <c r="A128" s="32"/>
      <c r="E128" s="33"/>
      <c r="K128" s="33"/>
      <c r="Q128" s="33"/>
      <c r="W128" s="33"/>
      <c r="AC128" s="33"/>
      <c r="AD128" s="34"/>
      <c r="AE128" s="34"/>
    </row>
    <row r="129" ht="15.75" customHeight="1">
      <c r="A129" s="32"/>
      <c r="E129" s="33"/>
      <c r="K129" s="33"/>
      <c r="Q129" s="33"/>
      <c r="W129" s="33"/>
      <c r="AC129" s="33"/>
      <c r="AD129" s="34"/>
      <c r="AE129" s="34"/>
    </row>
    <row r="130" ht="15.75" customHeight="1">
      <c r="A130" s="32"/>
      <c r="E130" s="33"/>
      <c r="K130" s="33"/>
      <c r="Q130" s="33"/>
      <c r="W130" s="33"/>
      <c r="AC130" s="33"/>
      <c r="AD130" s="34"/>
      <c r="AE130" s="34"/>
    </row>
    <row r="131" ht="15.75" customHeight="1">
      <c r="A131" s="32"/>
      <c r="E131" s="33"/>
      <c r="K131" s="33"/>
      <c r="Q131" s="33"/>
      <c r="W131" s="33"/>
      <c r="AC131" s="33"/>
      <c r="AD131" s="34"/>
      <c r="AE131" s="34"/>
    </row>
    <row r="132" ht="15.75" customHeight="1">
      <c r="A132" s="32"/>
      <c r="E132" s="33"/>
      <c r="K132" s="33"/>
      <c r="Q132" s="33"/>
      <c r="W132" s="33"/>
      <c r="AC132" s="33"/>
      <c r="AD132" s="34"/>
      <c r="AE132" s="34"/>
    </row>
    <row r="133" ht="15.75" customHeight="1">
      <c r="A133" s="32"/>
      <c r="E133" s="33"/>
      <c r="K133" s="33"/>
      <c r="Q133" s="33"/>
      <c r="W133" s="33"/>
      <c r="AC133" s="33"/>
      <c r="AD133" s="34"/>
      <c r="AE133" s="34"/>
    </row>
    <row r="134" ht="15.75" customHeight="1">
      <c r="A134" s="32"/>
      <c r="E134" s="33"/>
      <c r="K134" s="33"/>
      <c r="Q134" s="33"/>
      <c r="W134" s="33"/>
      <c r="AC134" s="33"/>
      <c r="AD134" s="34"/>
      <c r="AE134" s="34"/>
    </row>
    <row r="135" ht="15.75" customHeight="1">
      <c r="A135" s="32"/>
      <c r="E135" s="33"/>
      <c r="K135" s="33"/>
      <c r="Q135" s="33"/>
      <c r="W135" s="33"/>
      <c r="AC135" s="33"/>
      <c r="AD135" s="34"/>
      <c r="AE135" s="34"/>
    </row>
    <row r="136" ht="15.75" customHeight="1">
      <c r="A136" s="32"/>
      <c r="E136" s="33"/>
      <c r="K136" s="33"/>
      <c r="Q136" s="33"/>
      <c r="W136" s="33"/>
      <c r="AC136" s="33"/>
      <c r="AD136" s="34"/>
      <c r="AE136" s="34"/>
    </row>
    <row r="137" ht="15.75" customHeight="1">
      <c r="A137" s="32"/>
      <c r="E137" s="33"/>
      <c r="K137" s="33"/>
      <c r="Q137" s="33"/>
      <c r="W137" s="33"/>
      <c r="AC137" s="33"/>
      <c r="AD137" s="34"/>
      <c r="AE137" s="34"/>
    </row>
    <row r="138" ht="15.75" customHeight="1">
      <c r="A138" s="32"/>
      <c r="E138" s="33"/>
      <c r="K138" s="33"/>
      <c r="Q138" s="33"/>
      <c r="W138" s="33"/>
      <c r="AC138" s="33"/>
      <c r="AD138" s="34"/>
      <c r="AE138" s="34"/>
    </row>
    <row r="139" ht="15.75" customHeight="1">
      <c r="A139" s="32"/>
      <c r="E139" s="33"/>
      <c r="K139" s="33"/>
      <c r="Q139" s="33"/>
      <c r="W139" s="33"/>
      <c r="AC139" s="33"/>
      <c r="AD139" s="34"/>
      <c r="AE139" s="34"/>
    </row>
    <row r="140" ht="15.75" customHeight="1">
      <c r="A140" s="32"/>
      <c r="E140" s="33"/>
      <c r="K140" s="33"/>
      <c r="Q140" s="33"/>
      <c r="W140" s="33"/>
      <c r="AC140" s="33"/>
      <c r="AD140" s="34"/>
      <c r="AE140" s="34"/>
    </row>
    <row r="141" ht="15.75" customHeight="1">
      <c r="A141" s="32"/>
      <c r="E141" s="33"/>
      <c r="K141" s="33"/>
      <c r="Q141" s="33"/>
      <c r="W141" s="33"/>
      <c r="AC141" s="33"/>
      <c r="AD141" s="34"/>
      <c r="AE141" s="34"/>
    </row>
    <row r="142" ht="15.75" customHeight="1">
      <c r="A142" s="32"/>
      <c r="E142" s="33"/>
      <c r="K142" s="33"/>
      <c r="Q142" s="33"/>
      <c r="W142" s="33"/>
      <c r="AC142" s="33"/>
      <c r="AD142" s="34"/>
      <c r="AE142" s="34"/>
    </row>
    <row r="143" ht="15.75" customHeight="1">
      <c r="A143" s="32"/>
      <c r="E143" s="33"/>
      <c r="K143" s="33"/>
      <c r="Q143" s="33"/>
      <c r="W143" s="33"/>
      <c r="AC143" s="33"/>
      <c r="AD143" s="34"/>
      <c r="AE143" s="34"/>
    </row>
    <row r="144" ht="15.75" customHeight="1">
      <c r="A144" s="32"/>
      <c r="E144" s="33"/>
      <c r="K144" s="33"/>
      <c r="Q144" s="33"/>
      <c r="W144" s="33"/>
      <c r="AC144" s="33"/>
      <c r="AD144" s="34"/>
      <c r="AE144" s="34"/>
    </row>
    <row r="145" ht="15.75" customHeight="1">
      <c r="A145" s="32"/>
      <c r="E145" s="33"/>
      <c r="K145" s="33"/>
      <c r="Q145" s="33"/>
      <c r="W145" s="33"/>
      <c r="AC145" s="33"/>
      <c r="AD145" s="34"/>
      <c r="AE145" s="34"/>
    </row>
    <row r="146" ht="15.75" customHeight="1">
      <c r="A146" s="32"/>
      <c r="E146" s="33"/>
      <c r="K146" s="33"/>
      <c r="Q146" s="33"/>
      <c r="W146" s="33"/>
      <c r="AC146" s="33"/>
      <c r="AD146" s="34"/>
      <c r="AE146" s="34"/>
    </row>
    <row r="147" ht="15.75" customHeight="1">
      <c r="A147" s="32"/>
      <c r="E147" s="33"/>
      <c r="K147" s="33"/>
      <c r="Q147" s="33"/>
      <c r="W147" s="33"/>
      <c r="AC147" s="33"/>
      <c r="AD147" s="34"/>
      <c r="AE147" s="34"/>
    </row>
    <row r="148" ht="15.75" customHeight="1">
      <c r="A148" s="32"/>
      <c r="E148" s="33"/>
      <c r="K148" s="33"/>
      <c r="Q148" s="33"/>
      <c r="W148" s="33"/>
      <c r="AC148" s="33"/>
      <c r="AD148" s="34"/>
      <c r="AE148" s="34"/>
    </row>
    <row r="149" ht="15.75" customHeight="1">
      <c r="A149" s="32"/>
      <c r="E149" s="33"/>
      <c r="K149" s="33"/>
      <c r="Q149" s="33"/>
      <c r="W149" s="33"/>
      <c r="AC149" s="33"/>
      <c r="AD149" s="34"/>
      <c r="AE149" s="34"/>
    </row>
    <row r="150" ht="15.75" customHeight="1">
      <c r="A150" s="32"/>
      <c r="E150" s="33"/>
      <c r="K150" s="33"/>
      <c r="Q150" s="33"/>
      <c r="W150" s="33"/>
      <c r="AC150" s="33"/>
      <c r="AD150" s="34"/>
      <c r="AE150" s="34"/>
    </row>
    <row r="151" ht="15.75" customHeight="1">
      <c r="A151" s="32"/>
      <c r="E151" s="33"/>
      <c r="K151" s="33"/>
      <c r="Q151" s="33"/>
      <c r="W151" s="33"/>
      <c r="AC151" s="33"/>
      <c r="AD151" s="34"/>
      <c r="AE151" s="34"/>
    </row>
    <row r="152" ht="15.75" customHeight="1">
      <c r="A152" s="32"/>
      <c r="E152" s="33"/>
      <c r="K152" s="33"/>
      <c r="Q152" s="33"/>
      <c r="W152" s="33"/>
      <c r="AC152" s="33"/>
      <c r="AD152" s="34"/>
      <c r="AE152" s="34"/>
    </row>
    <row r="153" ht="15.75" customHeight="1">
      <c r="A153" s="32"/>
      <c r="E153" s="33"/>
      <c r="K153" s="33"/>
      <c r="Q153" s="33"/>
      <c r="W153" s="33"/>
      <c r="AC153" s="33"/>
      <c r="AD153" s="34"/>
      <c r="AE153" s="34"/>
    </row>
    <row r="154" ht="15.75" customHeight="1">
      <c r="A154" s="32"/>
      <c r="E154" s="33"/>
      <c r="K154" s="33"/>
      <c r="Q154" s="33"/>
      <c r="W154" s="33"/>
      <c r="AC154" s="33"/>
      <c r="AD154" s="34"/>
      <c r="AE154" s="34"/>
    </row>
    <row r="155" ht="15.75" customHeight="1">
      <c r="A155" s="32"/>
      <c r="E155" s="33"/>
      <c r="K155" s="33"/>
      <c r="Q155" s="33"/>
      <c r="W155" s="33"/>
      <c r="AC155" s="33"/>
      <c r="AD155" s="34"/>
      <c r="AE155" s="34"/>
    </row>
    <row r="156" ht="15.75" customHeight="1">
      <c r="A156" s="32"/>
      <c r="E156" s="33"/>
      <c r="K156" s="33"/>
      <c r="Q156" s="33"/>
      <c r="W156" s="33"/>
      <c r="AC156" s="33"/>
      <c r="AD156" s="34"/>
      <c r="AE156" s="34"/>
    </row>
    <row r="157" ht="15.75" customHeight="1">
      <c r="A157" s="32"/>
      <c r="E157" s="33"/>
      <c r="K157" s="33"/>
      <c r="Q157" s="33"/>
      <c r="W157" s="33"/>
      <c r="AC157" s="33"/>
      <c r="AD157" s="34"/>
      <c r="AE157" s="34"/>
    </row>
    <row r="158" ht="15.75" customHeight="1">
      <c r="A158" s="32"/>
      <c r="E158" s="33"/>
      <c r="K158" s="33"/>
      <c r="Q158" s="33"/>
      <c r="W158" s="33"/>
      <c r="AC158" s="33"/>
      <c r="AD158" s="34"/>
      <c r="AE158" s="34"/>
    </row>
    <row r="159" ht="15.75" customHeight="1">
      <c r="A159" s="32"/>
      <c r="E159" s="33"/>
      <c r="K159" s="33"/>
      <c r="Q159" s="33"/>
      <c r="W159" s="33"/>
      <c r="AC159" s="33"/>
      <c r="AD159" s="34"/>
      <c r="AE159" s="34"/>
    </row>
    <row r="160" ht="15.75" customHeight="1">
      <c r="A160" s="32"/>
      <c r="E160" s="33"/>
      <c r="K160" s="33"/>
      <c r="Q160" s="33"/>
      <c r="W160" s="33"/>
      <c r="AC160" s="33"/>
      <c r="AD160" s="34"/>
      <c r="AE160" s="34"/>
    </row>
    <row r="161" ht="15.75" customHeight="1">
      <c r="A161" s="32"/>
      <c r="E161" s="33"/>
      <c r="K161" s="33"/>
      <c r="Q161" s="33"/>
      <c r="W161" s="33"/>
      <c r="AC161" s="33"/>
      <c r="AD161" s="34"/>
      <c r="AE161" s="34"/>
    </row>
    <row r="162" ht="15.75" customHeight="1">
      <c r="A162" s="32"/>
      <c r="E162" s="33"/>
      <c r="K162" s="33"/>
      <c r="Q162" s="33"/>
      <c r="W162" s="33"/>
      <c r="AC162" s="33"/>
      <c r="AD162" s="34"/>
      <c r="AE162" s="34"/>
    </row>
    <row r="163" ht="15.75" customHeight="1">
      <c r="A163" s="32"/>
      <c r="E163" s="33"/>
      <c r="K163" s="33"/>
      <c r="Q163" s="33"/>
      <c r="W163" s="33"/>
      <c r="AC163" s="33"/>
      <c r="AD163" s="34"/>
      <c r="AE163" s="34"/>
    </row>
    <row r="164" ht="15.75" customHeight="1">
      <c r="A164" s="32"/>
      <c r="E164" s="33"/>
      <c r="K164" s="33"/>
      <c r="Q164" s="33"/>
      <c r="W164" s="33"/>
      <c r="AC164" s="33"/>
      <c r="AD164" s="34"/>
      <c r="AE164" s="34"/>
    </row>
    <row r="165" ht="15.75" customHeight="1">
      <c r="A165" s="32"/>
      <c r="E165" s="33"/>
      <c r="K165" s="33"/>
      <c r="Q165" s="33"/>
      <c r="W165" s="33"/>
      <c r="AC165" s="33"/>
      <c r="AD165" s="34"/>
      <c r="AE165" s="34"/>
    </row>
    <row r="166" ht="15.75" customHeight="1">
      <c r="A166" s="32"/>
      <c r="E166" s="33"/>
      <c r="K166" s="33"/>
      <c r="Q166" s="33"/>
      <c r="W166" s="33"/>
      <c r="AC166" s="33"/>
      <c r="AD166" s="34"/>
      <c r="AE166" s="34"/>
    </row>
    <row r="167" ht="15.75" customHeight="1">
      <c r="A167" s="32"/>
      <c r="E167" s="33"/>
      <c r="K167" s="33"/>
      <c r="Q167" s="33"/>
      <c r="W167" s="33"/>
      <c r="AC167" s="33"/>
      <c r="AD167" s="34"/>
      <c r="AE167" s="34"/>
    </row>
    <row r="168" ht="15.75" customHeight="1">
      <c r="A168" s="32"/>
      <c r="E168" s="33"/>
      <c r="K168" s="33"/>
      <c r="Q168" s="33"/>
      <c r="W168" s="33"/>
      <c r="AC168" s="33"/>
      <c r="AD168" s="34"/>
      <c r="AE168" s="34"/>
    </row>
    <row r="169" ht="15.75" customHeight="1">
      <c r="A169" s="32"/>
      <c r="E169" s="33"/>
      <c r="K169" s="33"/>
      <c r="Q169" s="33"/>
      <c r="W169" s="33"/>
      <c r="AC169" s="33"/>
      <c r="AD169" s="34"/>
      <c r="AE169" s="34"/>
    </row>
    <row r="170" ht="15.75" customHeight="1">
      <c r="A170" s="32"/>
      <c r="E170" s="33"/>
      <c r="K170" s="33"/>
      <c r="Q170" s="33"/>
      <c r="W170" s="33"/>
      <c r="AC170" s="33"/>
      <c r="AD170" s="34"/>
      <c r="AE170" s="34"/>
    </row>
    <row r="171" ht="15.75" customHeight="1">
      <c r="A171" s="32"/>
      <c r="E171" s="33"/>
      <c r="K171" s="33"/>
      <c r="Q171" s="33"/>
      <c r="W171" s="33"/>
      <c r="AC171" s="33"/>
      <c r="AD171" s="34"/>
      <c r="AE171" s="34"/>
    </row>
    <row r="172" ht="15.75" customHeight="1">
      <c r="A172" s="32"/>
      <c r="E172" s="33"/>
      <c r="K172" s="33"/>
      <c r="Q172" s="33"/>
      <c r="W172" s="33"/>
      <c r="AC172" s="33"/>
      <c r="AD172" s="34"/>
      <c r="AE172" s="34"/>
    </row>
    <row r="173" ht="15.75" customHeight="1">
      <c r="A173" s="32"/>
      <c r="E173" s="33"/>
      <c r="K173" s="33"/>
      <c r="Q173" s="33"/>
      <c r="W173" s="33"/>
      <c r="AC173" s="33"/>
      <c r="AD173" s="34"/>
      <c r="AE173" s="34"/>
    </row>
    <row r="174" ht="15.75" customHeight="1">
      <c r="A174" s="32"/>
      <c r="E174" s="33"/>
      <c r="K174" s="33"/>
      <c r="Q174" s="33"/>
      <c r="W174" s="33"/>
      <c r="AC174" s="33"/>
      <c r="AD174" s="34"/>
      <c r="AE174" s="34"/>
    </row>
    <row r="175" ht="15.75" customHeight="1">
      <c r="A175" s="32"/>
      <c r="E175" s="33"/>
      <c r="K175" s="33"/>
      <c r="Q175" s="33"/>
      <c r="W175" s="33"/>
      <c r="AC175" s="33"/>
      <c r="AD175" s="34"/>
      <c r="AE175" s="34"/>
    </row>
    <row r="176" ht="15.75" customHeight="1">
      <c r="A176" s="32"/>
      <c r="E176" s="33"/>
      <c r="K176" s="33"/>
      <c r="Q176" s="33"/>
      <c r="W176" s="33"/>
      <c r="AC176" s="33"/>
      <c r="AD176" s="34"/>
      <c r="AE176" s="34"/>
    </row>
    <row r="177" ht="15.75" customHeight="1">
      <c r="A177" s="32"/>
      <c r="E177" s="33"/>
      <c r="K177" s="33"/>
      <c r="Q177" s="33"/>
      <c r="W177" s="33"/>
      <c r="AC177" s="33"/>
      <c r="AD177" s="34"/>
      <c r="AE177" s="34"/>
    </row>
    <row r="178" ht="15.75" customHeight="1">
      <c r="A178" s="32"/>
      <c r="E178" s="33"/>
      <c r="K178" s="33"/>
      <c r="Q178" s="33"/>
      <c r="W178" s="33"/>
      <c r="AC178" s="33"/>
      <c r="AD178" s="34"/>
      <c r="AE178" s="34"/>
    </row>
    <row r="179" ht="15.75" customHeight="1">
      <c r="A179" s="32"/>
      <c r="E179" s="33"/>
      <c r="K179" s="33"/>
      <c r="Q179" s="33"/>
      <c r="W179" s="33"/>
      <c r="AC179" s="33"/>
      <c r="AD179" s="34"/>
      <c r="AE179" s="34"/>
    </row>
    <row r="180" ht="15.75" customHeight="1">
      <c r="A180" s="32"/>
      <c r="E180" s="33"/>
      <c r="K180" s="33"/>
      <c r="Q180" s="33"/>
      <c r="W180" s="33"/>
      <c r="AC180" s="33"/>
      <c r="AD180" s="34"/>
      <c r="AE180" s="34"/>
    </row>
    <row r="181" ht="15.75" customHeight="1">
      <c r="A181" s="32"/>
      <c r="E181" s="33"/>
      <c r="K181" s="33"/>
      <c r="Q181" s="33"/>
      <c r="W181" s="33"/>
      <c r="AC181" s="33"/>
      <c r="AD181" s="34"/>
      <c r="AE181" s="34"/>
    </row>
    <row r="182" ht="15.75" customHeight="1">
      <c r="A182" s="32"/>
      <c r="E182" s="33"/>
      <c r="K182" s="33"/>
      <c r="Q182" s="33"/>
      <c r="W182" s="33"/>
      <c r="AC182" s="33"/>
      <c r="AD182" s="34"/>
      <c r="AE182" s="34"/>
    </row>
    <row r="183" ht="15.75" customHeight="1">
      <c r="A183" s="32"/>
      <c r="E183" s="33"/>
      <c r="K183" s="33"/>
      <c r="Q183" s="33"/>
      <c r="W183" s="33"/>
      <c r="AC183" s="33"/>
      <c r="AD183" s="34"/>
      <c r="AE183" s="34"/>
    </row>
    <row r="184" ht="15.75" customHeight="1">
      <c r="A184" s="32"/>
      <c r="E184" s="33"/>
      <c r="K184" s="33"/>
      <c r="Q184" s="33"/>
      <c r="W184" s="33"/>
      <c r="AC184" s="33"/>
      <c r="AD184" s="34"/>
      <c r="AE184" s="34"/>
    </row>
    <row r="185" ht="15.75" customHeight="1">
      <c r="A185" s="32"/>
      <c r="E185" s="33"/>
      <c r="K185" s="33"/>
      <c r="Q185" s="33"/>
      <c r="W185" s="33"/>
      <c r="AC185" s="33"/>
      <c r="AD185" s="34"/>
      <c r="AE185" s="34"/>
    </row>
    <row r="186" ht="15.75" customHeight="1">
      <c r="A186" s="32"/>
      <c r="E186" s="33"/>
      <c r="K186" s="33"/>
      <c r="Q186" s="33"/>
      <c r="W186" s="33"/>
      <c r="AC186" s="33"/>
      <c r="AD186" s="34"/>
      <c r="AE186" s="34"/>
    </row>
    <row r="187" ht="15.75" customHeight="1">
      <c r="A187" s="32"/>
      <c r="E187" s="33"/>
      <c r="K187" s="33"/>
      <c r="Q187" s="33"/>
      <c r="W187" s="33"/>
      <c r="AC187" s="33"/>
      <c r="AD187" s="34"/>
      <c r="AE187" s="34"/>
    </row>
    <row r="188" ht="15.75" customHeight="1">
      <c r="A188" s="32"/>
      <c r="E188" s="33"/>
      <c r="K188" s="33"/>
      <c r="Q188" s="33"/>
      <c r="W188" s="33"/>
      <c r="AC188" s="33"/>
      <c r="AD188" s="34"/>
      <c r="AE188" s="34"/>
    </row>
    <row r="189" ht="15.75" customHeight="1">
      <c r="A189" s="32"/>
      <c r="E189" s="33"/>
      <c r="K189" s="33"/>
      <c r="Q189" s="33"/>
      <c r="W189" s="33"/>
      <c r="AC189" s="33"/>
      <c r="AD189" s="34"/>
      <c r="AE189" s="34"/>
    </row>
    <row r="190" ht="15.75" customHeight="1">
      <c r="A190" s="32"/>
      <c r="E190" s="33"/>
      <c r="K190" s="33"/>
      <c r="Q190" s="33"/>
      <c r="W190" s="33"/>
      <c r="AC190" s="33"/>
      <c r="AD190" s="34"/>
      <c r="AE190" s="34"/>
    </row>
    <row r="191" ht="15.75" customHeight="1">
      <c r="A191" s="32"/>
      <c r="E191" s="33"/>
      <c r="K191" s="33"/>
      <c r="Q191" s="33"/>
      <c r="W191" s="33"/>
      <c r="AC191" s="33"/>
      <c r="AD191" s="34"/>
      <c r="AE191" s="34"/>
    </row>
    <row r="192" ht="15.75" customHeight="1">
      <c r="A192" s="32"/>
      <c r="E192" s="33"/>
      <c r="K192" s="33"/>
      <c r="Q192" s="33"/>
      <c r="W192" s="33"/>
      <c r="AC192" s="33"/>
      <c r="AD192" s="34"/>
      <c r="AE192" s="34"/>
    </row>
    <row r="193" ht="15.75" customHeight="1">
      <c r="A193" s="32"/>
      <c r="E193" s="33"/>
      <c r="K193" s="33"/>
      <c r="Q193" s="33"/>
      <c r="W193" s="33"/>
      <c r="AC193" s="33"/>
      <c r="AD193" s="34"/>
      <c r="AE193" s="34"/>
    </row>
    <row r="194" ht="15.75" customHeight="1">
      <c r="A194" s="32"/>
      <c r="E194" s="33"/>
      <c r="K194" s="33"/>
      <c r="Q194" s="33"/>
      <c r="W194" s="33"/>
      <c r="AC194" s="33"/>
      <c r="AD194" s="34"/>
      <c r="AE194" s="34"/>
    </row>
    <row r="195" ht="15.75" customHeight="1">
      <c r="A195" s="32"/>
      <c r="E195" s="33"/>
      <c r="K195" s="33"/>
      <c r="Q195" s="33"/>
      <c r="W195" s="33"/>
      <c r="AC195" s="33"/>
      <c r="AD195" s="34"/>
      <c r="AE195" s="34"/>
    </row>
    <row r="196" ht="15.75" customHeight="1">
      <c r="A196" s="32"/>
      <c r="E196" s="33"/>
      <c r="K196" s="33"/>
      <c r="Q196" s="33"/>
      <c r="W196" s="33"/>
      <c r="AC196" s="33"/>
      <c r="AD196" s="34"/>
      <c r="AE196" s="34"/>
    </row>
    <row r="197" ht="15.75" customHeight="1">
      <c r="A197" s="32"/>
      <c r="E197" s="33"/>
      <c r="K197" s="33"/>
      <c r="Q197" s="33"/>
      <c r="W197" s="33"/>
      <c r="AC197" s="33"/>
      <c r="AD197" s="34"/>
      <c r="AE197" s="34"/>
    </row>
    <row r="198" ht="15.75" customHeight="1">
      <c r="A198" s="32"/>
      <c r="E198" s="33"/>
      <c r="K198" s="33"/>
      <c r="Q198" s="33"/>
      <c r="W198" s="33"/>
      <c r="AC198" s="33"/>
      <c r="AD198" s="34"/>
      <c r="AE198" s="34"/>
    </row>
    <row r="199" ht="15.75" customHeight="1">
      <c r="A199" s="32"/>
      <c r="E199" s="33"/>
      <c r="K199" s="33"/>
      <c r="Q199" s="33"/>
      <c r="W199" s="33"/>
      <c r="AC199" s="33"/>
      <c r="AD199" s="34"/>
      <c r="AE199" s="34"/>
    </row>
    <row r="200" ht="15.75" customHeight="1">
      <c r="A200" s="32"/>
      <c r="E200" s="33"/>
      <c r="K200" s="33"/>
      <c r="Q200" s="33"/>
      <c r="W200" s="33"/>
      <c r="AC200" s="33"/>
      <c r="AD200" s="34"/>
      <c r="AE200" s="34"/>
    </row>
    <row r="201" ht="15.75" customHeight="1">
      <c r="A201" s="32"/>
      <c r="E201" s="33"/>
      <c r="K201" s="33"/>
      <c r="Q201" s="33"/>
      <c r="W201" s="33"/>
      <c r="AC201" s="33"/>
      <c r="AD201" s="34"/>
      <c r="AE201" s="34"/>
    </row>
    <row r="202" ht="15.75" customHeight="1">
      <c r="A202" s="32"/>
      <c r="E202" s="33"/>
      <c r="K202" s="33"/>
      <c r="Q202" s="33"/>
      <c r="W202" s="33"/>
      <c r="AC202" s="33"/>
      <c r="AD202" s="34"/>
      <c r="AE202" s="34"/>
    </row>
    <row r="203" ht="15.75" customHeight="1">
      <c r="A203" s="32"/>
      <c r="E203" s="33"/>
      <c r="K203" s="33"/>
      <c r="Q203" s="33"/>
      <c r="W203" s="33"/>
      <c r="AC203" s="33"/>
      <c r="AD203" s="34"/>
      <c r="AE203" s="34"/>
    </row>
    <row r="204" ht="15.75" customHeight="1">
      <c r="A204" s="32"/>
      <c r="E204" s="33"/>
      <c r="K204" s="33"/>
      <c r="Q204" s="33"/>
      <c r="W204" s="33"/>
      <c r="AC204" s="33"/>
      <c r="AD204" s="34"/>
      <c r="AE204" s="34"/>
    </row>
    <row r="205" ht="15.75" customHeight="1">
      <c r="A205" s="32"/>
      <c r="E205" s="33"/>
      <c r="K205" s="33"/>
      <c r="Q205" s="33"/>
      <c r="W205" s="33"/>
      <c r="AC205" s="33"/>
      <c r="AD205" s="34"/>
      <c r="AE205" s="34"/>
    </row>
    <row r="206" ht="15.75" customHeight="1">
      <c r="A206" s="32"/>
      <c r="E206" s="33"/>
      <c r="K206" s="33"/>
      <c r="Q206" s="33"/>
      <c r="W206" s="33"/>
      <c r="AC206" s="33"/>
      <c r="AD206" s="34"/>
      <c r="AE206" s="34"/>
    </row>
    <row r="207" ht="15.75" customHeight="1">
      <c r="A207" s="32"/>
      <c r="E207" s="33"/>
      <c r="K207" s="33"/>
      <c r="Q207" s="33"/>
      <c r="W207" s="33"/>
      <c r="AC207" s="33"/>
      <c r="AD207" s="34"/>
      <c r="AE207" s="34"/>
    </row>
    <row r="208" ht="15.75" customHeight="1">
      <c r="A208" s="32"/>
      <c r="E208" s="33"/>
      <c r="K208" s="33"/>
      <c r="Q208" s="33"/>
      <c r="W208" s="33"/>
      <c r="AC208" s="33"/>
      <c r="AD208" s="34"/>
      <c r="AE208" s="34"/>
    </row>
    <row r="209" ht="15.75" customHeight="1">
      <c r="A209" s="32"/>
      <c r="E209" s="33"/>
      <c r="K209" s="33"/>
      <c r="Q209" s="33"/>
      <c r="W209" s="33"/>
      <c r="AC209" s="33"/>
      <c r="AD209" s="34"/>
      <c r="AE209" s="34"/>
    </row>
    <row r="210" ht="15.75" customHeight="1">
      <c r="A210" s="32"/>
      <c r="E210" s="33"/>
      <c r="K210" s="33"/>
      <c r="Q210" s="33"/>
      <c r="W210" s="33"/>
      <c r="AC210" s="33"/>
      <c r="AD210" s="34"/>
      <c r="AE210" s="34"/>
    </row>
    <row r="211" ht="15.75" customHeight="1">
      <c r="A211" s="32"/>
      <c r="E211" s="33"/>
      <c r="K211" s="33"/>
      <c r="Q211" s="33"/>
      <c r="W211" s="33"/>
      <c r="AC211" s="33"/>
      <c r="AD211" s="34"/>
      <c r="AE211" s="34"/>
    </row>
    <row r="212" ht="15.75" customHeight="1">
      <c r="A212" s="32"/>
      <c r="E212" s="33"/>
      <c r="K212" s="33"/>
      <c r="Q212" s="33"/>
      <c r="W212" s="33"/>
      <c r="AC212" s="33"/>
      <c r="AD212" s="34"/>
      <c r="AE212" s="34"/>
    </row>
    <row r="213" ht="15.75" customHeight="1">
      <c r="A213" s="32"/>
      <c r="E213" s="33"/>
      <c r="K213" s="33"/>
      <c r="Q213" s="33"/>
      <c r="W213" s="33"/>
      <c r="AC213" s="33"/>
      <c r="AD213" s="34"/>
      <c r="AE213" s="34"/>
    </row>
    <row r="214" ht="15.75" customHeight="1">
      <c r="A214" s="32"/>
      <c r="E214" s="33"/>
      <c r="K214" s="33"/>
      <c r="Q214" s="33"/>
      <c r="W214" s="33"/>
      <c r="AC214" s="33"/>
      <c r="AD214" s="34"/>
      <c r="AE214" s="34"/>
    </row>
    <row r="215" ht="15.75" customHeight="1">
      <c r="A215" s="32"/>
      <c r="E215" s="33"/>
      <c r="K215" s="33"/>
      <c r="Q215" s="33"/>
      <c r="W215" s="33"/>
      <c r="AC215" s="33"/>
      <c r="AD215" s="34"/>
      <c r="AE215" s="34"/>
    </row>
    <row r="216" ht="15.75" customHeight="1">
      <c r="A216" s="32"/>
      <c r="E216" s="33"/>
      <c r="K216" s="33"/>
      <c r="Q216" s="33"/>
      <c r="W216" s="33"/>
      <c r="AC216" s="33"/>
      <c r="AD216" s="34"/>
      <c r="AE216" s="34"/>
    </row>
    <row r="217" ht="15.75" customHeight="1">
      <c r="A217" s="32"/>
      <c r="E217" s="33"/>
      <c r="K217" s="33"/>
      <c r="Q217" s="33"/>
      <c r="W217" s="33"/>
      <c r="AC217" s="33"/>
      <c r="AD217" s="34"/>
      <c r="AE217" s="34"/>
    </row>
    <row r="218" ht="15.75" customHeight="1">
      <c r="A218" s="32"/>
      <c r="E218" s="33"/>
      <c r="K218" s="33"/>
      <c r="Q218" s="33"/>
      <c r="W218" s="33"/>
      <c r="AC218" s="33"/>
      <c r="AD218" s="34"/>
      <c r="AE218" s="34"/>
    </row>
    <row r="219" ht="15.75" customHeight="1">
      <c r="A219" s="32"/>
      <c r="E219" s="33"/>
      <c r="K219" s="33"/>
      <c r="Q219" s="33"/>
      <c r="W219" s="33"/>
      <c r="AC219" s="33"/>
      <c r="AD219" s="34"/>
      <c r="AE219" s="34"/>
    </row>
    <row r="220" ht="15.75" customHeight="1">
      <c r="A220" s="32"/>
      <c r="E220" s="33"/>
      <c r="K220" s="33"/>
      <c r="Q220" s="33"/>
      <c r="W220" s="33"/>
      <c r="AC220" s="33"/>
      <c r="AD220" s="34"/>
      <c r="AE220" s="34"/>
    </row>
    <row r="221" ht="15.75" customHeight="1">
      <c r="A221" s="32"/>
      <c r="E221" s="33"/>
      <c r="K221" s="33"/>
      <c r="Q221" s="33"/>
      <c r="W221" s="33"/>
      <c r="AC221" s="33"/>
      <c r="AD221" s="34"/>
      <c r="AE221" s="34"/>
    </row>
    <row r="222" ht="15.75" customHeight="1">
      <c r="A222" s="32"/>
      <c r="E222" s="33"/>
      <c r="K222" s="33"/>
      <c r="Q222" s="33"/>
      <c r="W222" s="33"/>
      <c r="AC222" s="33"/>
      <c r="AD222" s="34"/>
      <c r="AE222" s="34"/>
    </row>
    <row r="223" ht="15.75" customHeight="1">
      <c r="A223" s="32"/>
      <c r="E223" s="33"/>
      <c r="K223" s="33"/>
      <c r="Q223" s="33"/>
      <c r="W223" s="33"/>
      <c r="AC223" s="33"/>
      <c r="AD223" s="34"/>
      <c r="AE223" s="34"/>
    </row>
    <row r="224" ht="15.75" customHeight="1">
      <c r="A224" s="32"/>
      <c r="E224" s="33"/>
      <c r="K224" s="33"/>
      <c r="Q224" s="33"/>
      <c r="W224" s="33"/>
      <c r="AC224" s="33"/>
      <c r="AD224" s="34"/>
      <c r="AE224" s="34"/>
    </row>
    <row r="225" ht="15.75" customHeight="1">
      <c r="A225" s="32"/>
      <c r="E225" s="33"/>
      <c r="K225" s="33"/>
      <c r="Q225" s="33"/>
      <c r="W225" s="33"/>
      <c r="AC225" s="33"/>
      <c r="AD225" s="34"/>
      <c r="AE225" s="34"/>
    </row>
    <row r="226" ht="15.75" customHeight="1">
      <c r="A226" s="32"/>
      <c r="E226" s="33"/>
      <c r="K226" s="33"/>
      <c r="Q226" s="33"/>
      <c r="W226" s="33"/>
      <c r="AC226" s="33"/>
      <c r="AD226" s="34"/>
      <c r="AE226" s="34"/>
    </row>
    <row r="227" ht="15.75" customHeight="1">
      <c r="A227" s="32"/>
      <c r="E227" s="33"/>
      <c r="K227" s="33"/>
      <c r="Q227" s="33"/>
      <c r="W227" s="33"/>
      <c r="AC227" s="33"/>
      <c r="AD227" s="34"/>
      <c r="AE227" s="34"/>
    </row>
    <row r="228" ht="15.75" customHeight="1">
      <c r="A228" s="32"/>
      <c r="E228" s="33"/>
      <c r="K228" s="33"/>
      <c r="Q228" s="33"/>
      <c r="W228" s="33"/>
      <c r="AC228" s="33"/>
      <c r="AD228" s="34"/>
      <c r="AE228" s="34"/>
    </row>
    <row r="229" ht="15.75" customHeight="1">
      <c r="A229" s="32"/>
      <c r="E229" s="33"/>
      <c r="K229" s="33"/>
      <c r="Q229" s="33"/>
      <c r="W229" s="33"/>
      <c r="AC229" s="33"/>
      <c r="AD229" s="34"/>
      <c r="AE229" s="34"/>
    </row>
    <row r="230" ht="15.75" customHeight="1">
      <c r="A230" s="32"/>
      <c r="E230" s="33"/>
      <c r="K230" s="33"/>
      <c r="Q230" s="33"/>
      <c r="W230" s="33"/>
      <c r="AC230" s="33"/>
      <c r="AD230" s="34"/>
      <c r="AE230" s="34"/>
    </row>
    <row r="231" ht="15.75" customHeight="1">
      <c r="A231" s="32"/>
      <c r="E231" s="33"/>
      <c r="K231" s="33"/>
      <c r="Q231" s="33"/>
      <c r="W231" s="33"/>
      <c r="AC231" s="33"/>
      <c r="AD231" s="34"/>
      <c r="AE231" s="34"/>
    </row>
    <row r="232" ht="15.75" customHeight="1">
      <c r="A232" s="32"/>
      <c r="E232" s="33"/>
      <c r="K232" s="33"/>
      <c r="Q232" s="33"/>
      <c r="W232" s="33"/>
      <c r="AC232" s="33"/>
      <c r="AD232" s="34"/>
      <c r="AE232" s="34"/>
    </row>
    <row r="233" ht="15.75" customHeight="1">
      <c r="A233" s="32"/>
      <c r="E233" s="33"/>
      <c r="K233" s="33"/>
      <c r="Q233" s="33"/>
      <c r="W233" s="33"/>
      <c r="AC233" s="33"/>
      <c r="AD233" s="34"/>
      <c r="AE233" s="34"/>
    </row>
    <row r="234" ht="15.75" customHeight="1">
      <c r="A234" s="32"/>
      <c r="E234" s="33"/>
      <c r="K234" s="33"/>
      <c r="Q234" s="33"/>
      <c r="W234" s="33"/>
      <c r="AC234" s="33"/>
      <c r="AD234" s="34"/>
      <c r="AE234" s="34"/>
    </row>
    <row r="235" ht="15.75" customHeight="1">
      <c r="A235" s="32"/>
      <c r="E235" s="33"/>
      <c r="K235" s="33"/>
      <c r="Q235" s="33"/>
      <c r="W235" s="33"/>
      <c r="AC235" s="33"/>
      <c r="AD235" s="34"/>
      <c r="AE235" s="34"/>
    </row>
    <row r="236" ht="15.75" customHeight="1">
      <c r="A236" s="32"/>
      <c r="E236" s="33"/>
      <c r="K236" s="33"/>
      <c r="Q236" s="33"/>
      <c r="W236" s="33"/>
      <c r="AC236" s="33"/>
      <c r="AD236" s="34"/>
      <c r="AE236" s="34"/>
    </row>
    <row r="237" ht="15.75" customHeight="1">
      <c r="A237" s="32"/>
      <c r="E237" s="33"/>
      <c r="K237" s="33"/>
      <c r="Q237" s="33"/>
      <c r="W237" s="33"/>
      <c r="AC237" s="33"/>
      <c r="AD237" s="34"/>
      <c r="AE237" s="34"/>
    </row>
    <row r="238" ht="15.75" customHeight="1">
      <c r="A238" s="32"/>
      <c r="E238" s="33"/>
      <c r="K238" s="33"/>
      <c r="Q238" s="33"/>
      <c r="W238" s="33"/>
      <c r="AC238" s="33"/>
      <c r="AD238" s="34"/>
      <c r="AE238" s="34"/>
    </row>
    <row r="239" ht="15.75" customHeight="1">
      <c r="A239" s="32"/>
      <c r="E239" s="33"/>
      <c r="K239" s="33"/>
      <c r="Q239" s="33"/>
      <c r="W239" s="33"/>
      <c r="AC239" s="33"/>
      <c r="AD239" s="34"/>
      <c r="AE239" s="34"/>
    </row>
    <row r="240" ht="15.75" customHeight="1">
      <c r="A240" s="32"/>
      <c r="E240" s="33"/>
      <c r="K240" s="33"/>
      <c r="Q240" s="33"/>
      <c r="W240" s="33"/>
      <c r="AC240" s="33"/>
      <c r="AD240" s="34"/>
      <c r="AE240" s="3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:A12"/>
    <mergeCell ref="A13:A22"/>
    <mergeCell ref="A23:A30"/>
    <mergeCell ref="A32:A40"/>
    <mergeCell ref="A1:A2"/>
    <mergeCell ref="B1:B2"/>
    <mergeCell ref="C1:C2"/>
    <mergeCell ref="D1:D2"/>
    <mergeCell ref="F1:K1"/>
    <mergeCell ref="R1:W1"/>
    <mergeCell ref="X1:AC1"/>
  </mergeCells>
  <conditionalFormatting sqref="F3:J4 F13:J13 F23:J23 F32:J32 L3:P4 L13:P13 L23:P23 L32:P32 R3:V4 R13:V13 R23:V23 R32:V32 X3:AC4 X13:AC13 X23:AC23 X32:AC32">
    <cfRule type="cellIs" dxfId="0" priority="1" operator="greaterThan">
      <formula>1</formula>
    </cfRule>
  </conditionalFormatting>
  <dataValidations>
    <dataValidation type="list" allowBlank="1" sqref="F5:J12 L5:P12 R5:V12 X5:AB12 F14:J22 L14:P22 R14:V22 X14:AB22 F24:J31 L24:P31 R24:V31 X24:AB31 F33:J40 L33:P40 R33:V40 X33:AB40">
      <formula1>'Lignes Activités'!$F$4:$F$5</formula1>
    </dataValidation>
    <dataValidation type="list" allowBlank="1" sqref="B10:B12 B19:B22 B29:B31 B38:B40">
      <formula1>'Lignes Activités'!$A:$A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9.75"/>
    <col customWidth="1" min="2" max="2" width="48.63"/>
    <col customWidth="1" min="3" max="26" width="14.38"/>
  </cols>
  <sheetData>
    <row r="1" ht="15.75" customHeight="1">
      <c r="A1" s="22" t="s">
        <v>23</v>
      </c>
      <c r="B1" s="22" t="s">
        <v>2</v>
      </c>
      <c r="C1" s="22" t="s">
        <v>24</v>
      </c>
      <c r="D1" s="22" t="s">
        <v>25</v>
      </c>
      <c r="E1" s="22" t="s">
        <v>26</v>
      </c>
      <c r="F1" s="35" t="s">
        <v>27</v>
      </c>
    </row>
    <row r="2" ht="15.75" customHeight="1">
      <c r="A2" s="22" t="s">
        <v>11</v>
      </c>
      <c r="B2" s="22" t="s">
        <v>28</v>
      </c>
      <c r="C2" s="22" t="s">
        <v>29</v>
      </c>
      <c r="D2" s="22" t="s">
        <v>30</v>
      </c>
      <c r="E2" s="22" t="s">
        <v>31</v>
      </c>
      <c r="F2" s="36">
        <v>1.0</v>
      </c>
    </row>
    <row r="3" ht="15.75" customHeight="1">
      <c r="A3" s="22" t="s">
        <v>13</v>
      </c>
      <c r="B3" s="22" t="s">
        <v>32</v>
      </c>
      <c r="C3" s="22" t="s">
        <v>29</v>
      </c>
      <c r="D3" s="22" t="s">
        <v>29</v>
      </c>
      <c r="E3" s="22" t="s">
        <v>31</v>
      </c>
      <c r="F3" s="35">
        <v>0.75</v>
      </c>
    </row>
    <row r="4" ht="15.75" customHeight="1">
      <c r="A4" s="22" t="s">
        <v>14</v>
      </c>
      <c r="B4" s="22" t="s">
        <v>33</v>
      </c>
      <c r="C4" s="22" t="s">
        <v>29</v>
      </c>
      <c r="D4" s="22" t="s">
        <v>29</v>
      </c>
      <c r="E4" s="22" t="s">
        <v>31</v>
      </c>
      <c r="F4" s="22">
        <v>0.5</v>
      </c>
    </row>
    <row r="5" ht="15.75" customHeight="1">
      <c r="A5" s="22" t="s">
        <v>15</v>
      </c>
      <c r="B5" s="22" t="s">
        <v>34</v>
      </c>
      <c r="C5" s="22" t="s">
        <v>29</v>
      </c>
      <c r="D5" s="22" t="s">
        <v>29</v>
      </c>
      <c r="E5" s="22" t="s">
        <v>31</v>
      </c>
      <c r="F5" s="35">
        <v>0.25</v>
      </c>
    </row>
    <row r="6" ht="15.75" customHeight="1">
      <c r="A6" s="22" t="s">
        <v>16</v>
      </c>
      <c r="B6" s="22" t="s">
        <v>35</v>
      </c>
      <c r="C6" s="22" t="s">
        <v>29</v>
      </c>
      <c r="D6" s="22" t="s">
        <v>36</v>
      </c>
      <c r="E6" s="22" t="s">
        <v>31</v>
      </c>
    </row>
    <row r="7" ht="15.75" customHeight="1">
      <c r="A7" s="22" t="s">
        <v>37</v>
      </c>
      <c r="B7" s="22" t="s">
        <v>38</v>
      </c>
      <c r="C7" s="22" t="s">
        <v>29</v>
      </c>
      <c r="D7" s="22" t="s">
        <v>29</v>
      </c>
      <c r="E7" s="22" t="s">
        <v>31</v>
      </c>
    </row>
    <row r="8" ht="15.75" customHeight="1">
      <c r="A8" s="22" t="s">
        <v>39</v>
      </c>
      <c r="B8" s="22" t="s">
        <v>40</v>
      </c>
      <c r="C8" s="22" t="s">
        <v>29</v>
      </c>
      <c r="D8" s="22" t="s">
        <v>29</v>
      </c>
      <c r="E8" s="22" t="s">
        <v>31</v>
      </c>
    </row>
    <row r="9" ht="15.75" customHeight="1">
      <c r="A9" s="22" t="s">
        <v>41</v>
      </c>
      <c r="B9" s="22" t="s">
        <v>42</v>
      </c>
      <c r="C9" s="22" t="s">
        <v>29</v>
      </c>
      <c r="D9" s="22" t="s">
        <v>29</v>
      </c>
      <c r="E9" s="22" t="s">
        <v>31</v>
      </c>
    </row>
    <row r="10" ht="15.75" customHeight="1">
      <c r="A10" s="22" t="s">
        <v>43</v>
      </c>
      <c r="B10" s="22" t="s">
        <v>44</v>
      </c>
      <c r="C10" s="22" t="s">
        <v>29</v>
      </c>
      <c r="D10" s="22" t="s">
        <v>29</v>
      </c>
      <c r="E10" s="22" t="s">
        <v>31</v>
      </c>
    </row>
    <row r="11" ht="15.75" customHeight="1">
      <c r="A11" s="22" t="s">
        <v>45</v>
      </c>
      <c r="B11" s="22" t="s">
        <v>46</v>
      </c>
      <c r="C11" s="22" t="s">
        <v>29</v>
      </c>
      <c r="D11" s="22" t="s">
        <v>29</v>
      </c>
      <c r="E11" s="22" t="s">
        <v>31</v>
      </c>
    </row>
    <row r="12" ht="15.75" customHeight="1">
      <c r="A12" s="22" t="s">
        <v>47</v>
      </c>
      <c r="B12" s="22" t="s">
        <v>48</v>
      </c>
      <c r="C12" s="22" t="s">
        <v>29</v>
      </c>
      <c r="D12" s="22" t="s">
        <v>29</v>
      </c>
      <c r="E12" s="22" t="s">
        <v>31</v>
      </c>
    </row>
    <row r="13" ht="15.75" customHeight="1">
      <c r="A13" s="22" t="s">
        <v>49</v>
      </c>
      <c r="B13" s="22" t="s">
        <v>50</v>
      </c>
      <c r="C13" s="22" t="s">
        <v>29</v>
      </c>
      <c r="D13" s="22" t="s">
        <v>29</v>
      </c>
      <c r="E13" s="22" t="s">
        <v>31</v>
      </c>
    </row>
    <row r="14" ht="15.75" customHeight="1">
      <c r="A14" s="22" t="s">
        <v>51</v>
      </c>
      <c r="B14" s="22" t="s">
        <v>52</v>
      </c>
      <c r="C14" s="22" t="s">
        <v>29</v>
      </c>
      <c r="D14" s="22" t="s">
        <v>29</v>
      </c>
      <c r="E14" s="22" t="s">
        <v>31</v>
      </c>
    </row>
    <row r="15" ht="15.75" customHeight="1">
      <c r="A15" s="22" t="s">
        <v>53</v>
      </c>
      <c r="B15" s="22" t="s">
        <v>53</v>
      </c>
      <c r="C15" s="22" t="s">
        <v>54</v>
      </c>
      <c r="D15" s="22" t="s">
        <v>55</v>
      </c>
      <c r="E15" s="22" t="s">
        <v>31</v>
      </c>
    </row>
    <row r="16" ht="15.75" customHeight="1">
      <c r="A16" s="22" t="s">
        <v>56</v>
      </c>
      <c r="B16" s="22" t="s">
        <v>57</v>
      </c>
      <c r="C16" s="22" t="s">
        <v>58</v>
      </c>
      <c r="D16" s="22" t="s">
        <v>55</v>
      </c>
      <c r="E16" s="22" t="s">
        <v>31</v>
      </c>
    </row>
    <row r="17" ht="15.75" customHeight="1">
      <c r="A17" s="22" t="s">
        <v>59</v>
      </c>
      <c r="B17" s="22" t="s">
        <v>60</v>
      </c>
      <c r="C17" s="22" t="s">
        <v>61</v>
      </c>
      <c r="D17" s="22" t="s">
        <v>55</v>
      </c>
      <c r="E17" s="22" t="s">
        <v>31</v>
      </c>
    </row>
    <row r="18" ht="15.75" customHeight="1">
      <c r="A18" s="22" t="s">
        <v>62</v>
      </c>
      <c r="B18" s="22" t="s">
        <v>63</v>
      </c>
      <c r="C18" s="22" t="s">
        <v>61</v>
      </c>
      <c r="D18" s="22" t="s">
        <v>55</v>
      </c>
      <c r="E18" s="22" t="s">
        <v>31</v>
      </c>
    </row>
    <row r="19" ht="15.75" customHeight="1">
      <c r="A19" s="22" t="s">
        <v>64</v>
      </c>
      <c r="B19" s="22" t="s">
        <v>65</v>
      </c>
      <c r="C19" s="22" t="s">
        <v>66</v>
      </c>
      <c r="D19" s="22" t="s">
        <v>55</v>
      </c>
      <c r="E19" s="22" t="s">
        <v>31</v>
      </c>
    </row>
    <row r="20" ht="15.75" customHeight="1">
      <c r="A20" s="22" t="s">
        <v>67</v>
      </c>
      <c r="B20" s="22" t="s">
        <v>68</v>
      </c>
      <c r="C20" s="22" t="s">
        <v>69</v>
      </c>
      <c r="D20" s="22" t="s">
        <v>55</v>
      </c>
      <c r="E20" s="22" t="s">
        <v>31</v>
      </c>
    </row>
    <row r="21" ht="15.75" customHeight="1">
      <c r="A21" s="22" t="s">
        <v>70</v>
      </c>
      <c r="B21" s="22" t="s">
        <v>71</v>
      </c>
      <c r="C21" s="22" t="s">
        <v>72</v>
      </c>
      <c r="D21" s="22" t="s">
        <v>55</v>
      </c>
      <c r="E21" s="22" t="s">
        <v>31</v>
      </c>
    </row>
    <row r="22" ht="15.75" customHeight="1">
      <c r="A22" s="22" t="s">
        <v>73</v>
      </c>
      <c r="B22" s="22" t="s">
        <v>74</v>
      </c>
      <c r="C22" s="22" t="s">
        <v>72</v>
      </c>
      <c r="D22" s="22" t="s">
        <v>55</v>
      </c>
      <c r="E22" s="22" t="s">
        <v>31</v>
      </c>
    </row>
    <row r="23" ht="15.75" customHeight="1">
      <c r="A23" s="22" t="s">
        <v>75</v>
      </c>
      <c r="B23" s="22" t="s">
        <v>76</v>
      </c>
      <c r="C23" s="22" t="s">
        <v>72</v>
      </c>
      <c r="D23" s="22" t="s">
        <v>55</v>
      </c>
      <c r="E23" s="22" t="s">
        <v>31</v>
      </c>
    </row>
    <row r="24" ht="15.75" customHeight="1">
      <c r="A24" s="22" t="s">
        <v>77</v>
      </c>
      <c r="B24" s="22" t="s">
        <v>78</v>
      </c>
      <c r="C24" s="22" t="s">
        <v>72</v>
      </c>
      <c r="D24" s="22" t="s">
        <v>55</v>
      </c>
      <c r="E24" s="22" t="s">
        <v>31</v>
      </c>
    </row>
    <row r="25" ht="15.75" customHeight="1">
      <c r="A25" s="22" t="s">
        <v>79</v>
      </c>
      <c r="B25" s="22" t="s">
        <v>80</v>
      </c>
      <c r="C25" s="22" t="s">
        <v>72</v>
      </c>
      <c r="D25" s="22" t="s">
        <v>55</v>
      </c>
      <c r="E25" s="22" t="s">
        <v>31</v>
      </c>
    </row>
    <row r="26" ht="15.75" customHeight="1">
      <c r="A26" s="22" t="s">
        <v>81</v>
      </c>
      <c r="B26" s="22" t="s">
        <v>82</v>
      </c>
      <c r="C26" s="22" t="s">
        <v>72</v>
      </c>
      <c r="D26" s="22" t="s">
        <v>55</v>
      </c>
      <c r="E26" s="22" t="s">
        <v>31</v>
      </c>
    </row>
    <row r="27" ht="15.75" customHeight="1">
      <c r="A27" s="22" t="s">
        <v>83</v>
      </c>
      <c r="B27" s="22" t="s">
        <v>84</v>
      </c>
      <c r="C27" s="22" t="s">
        <v>85</v>
      </c>
      <c r="D27" s="22" t="s">
        <v>55</v>
      </c>
      <c r="E27" s="22" t="s">
        <v>31</v>
      </c>
    </row>
    <row r="28" ht="15.75" customHeight="1">
      <c r="A28" s="22" t="s">
        <v>86</v>
      </c>
      <c r="B28" s="22" t="s">
        <v>87</v>
      </c>
      <c r="C28" s="22" t="s">
        <v>88</v>
      </c>
      <c r="D28" s="22" t="s">
        <v>89</v>
      </c>
      <c r="E28" s="22" t="s">
        <v>90</v>
      </c>
    </row>
    <row r="29" ht="15.75" customHeight="1">
      <c r="A29" s="22" t="s">
        <v>91</v>
      </c>
      <c r="B29" s="22" t="s">
        <v>92</v>
      </c>
      <c r="C29" s="22" t="s">
        <v>88</v>
      </c>
      <c r="D29" s="22" t="s">
        <v>89</v>
      </c>
      <c r="E29" s="22" t="s">
        <v>90</v>
      </c>
    </row>
    <row r="30" ht="15.75" customHeight="1">
      <c r="A30" s="22" t="s">
        <v>93</v>
      </c>
      <c r="B30" s="22" t="s">
        <v>94</v>
      </c>
      <c r="C30" s="22" t="s">
        <v>88</v>
      </c>
      <c r="D30" s="22" t="s">
        <v>89</v>
      </c>
      <c r="E30" s="22" t="s">
        <v>90</v>
      </c>
    </row>
    <row r="31" ht="15.75" customHeight="1">
      <c r="A31" s="22" t="s">
        <v>95</v>
      </c>
      <c r="B31" s="22" t="s">
        <v>96</v>
      </c>
      <c r="C31" s="22" t="s">
        <v>88</v>
      </c>
      <c r="D31" s="22" t="s">
        <v>89</v>
      </c>
      <c r="E31" s="22" t="s">
        <v>90</v>
      </c>
    </row>
    <row r="32" ht="15.75" customHeight="1">
      <c r="A32" s="22" t="s">
        <v>97</v>
      </c>
      <c r="B32" s="22" t="s">
        <v>98</v>
      </c>
      <c r="C32" s="22" t="s">
        <v>88</v>
      </c>
      <c r="D32" s="22" t="s">
        <v>89</v>
      </c>
      <c r="E32" s="22" t="s">
        <v>90</v>
      </c>
    </row>
    <row r="33" ht="15.75" customHeight="1">
      <c r="A33" s="22" t="s">
        <v>99</v>
      </c>
      <c r="B33" s="22" t="s">
        <v>100</v>
      </c>
      <c r="C33" s="22" t="s">
        <v>88</v>
      </c>
      <c r="D33" s="22" t="s">
        <v>89</v>
      </c>
      <c r="E33" s="22" t="s">
        <v>90</v>
      </c>
    </row>
    <row r="34" ht="15.75" customHeight="1">
      <c r="A34" s="22" t="s">
        <v>101</v>
      </c>
      <c r="B34" s="22" t="s">
        <v>102</v>
      </c>
      <c r="C34" s="22" t="s">
        <v>88</v>
      </c>
      <c r="D34" s="22" t="s">
        <v>89</v>
      </c>
      <c r="E34" s="22" t="s">
        <v>90</v>
      </c>
    </row>
    <row r="35" ht="15.75" customHeight="1">
      <c r="A35" s="22" t="s">
        <v>103</v>
      </c>
      <c r="B35" s="22" t="s">
        <v>104</v>
      </c>
      <c r="C35" s="22" t="s">
        <v>88</v>
      </c>
      <c r="D35" s="22" t="s">
        <v>89</v>
      </c>
      <c r="E35" s="22" t="s">
        <v>90</v>
      </c>
    </row>
    <row r="36" ht="15.75" customHeight="1">
      <c r="A36" s="22" t="s">
        <v>105</v>
      </c>
      <c r="B36" s="22" t="s">
        <v>106</v>
      </c>
      <c r="C36" s="22" t="s">
        <v>88</v>
      </c>
      <c r="D36" s="22" t="s">
        <v>89</v>
      </c>
      <c r="E36" s="22" t="s">
        <v>90</v>
      </c>
    </row>
    <row r="37" ht="15.75" customHeight="1">
      <c r="A37" s="22" t="s">
        <v>107</v>
      </c>
      <c r="B37" s="22" t="s">
        <v>108</v>
      </c>
      <c r="C37" s="22" t="s">
        <v>88</v>
      </c>
      <c r="D37" s="22" t="s">
        <v>89</v>
      </c>
      <c r="E37" s="22" t="s">
        <v>90</v>
      </c>
    </row>
    <row r="38" ht="15.75" customHeight="1">
      <c r="A38" s="22" t="s">
        <v>109</v>
      </c>
      <c r="B38" s="22" t="s">
        <v>110</v>
      </c>
      <c r="C38" s="22" t="s">
        <v>88</v>
      </c>
      <c r="D38" s="22" t="s">
        <v>89</v>
      </c>
      <c r="E38" s="22" t="s">
        <v>90</v>
      </c>
    </row>
    <row r="39" ht="15.75" customHeight="1">
      <c r="A39" s="22" t="s">
        <v>111</v>
      </c>
      <c r="B39" s="22" t="s">
        <v>112</v>
      </c>
      <c r="C39" s="22" t="s">
        <v>88</v>
      </c>
      <c r="D39" s="22" t="s">
        <v>89</v>
      </c>
      <c r="E39" s="22" t="s">
        <v>90</v>
      </c>
    </row>
    <row r="40" ht="15.75" customHeight="1">
      <c r="A40" s="22" t="s">
        <v>113</v>
      </c>
      <c r="B40" s="22" t="s">
        <v>114</v>
      </c>
      <c r="C40" s="22" t="s">
        <v>88</v>
      </c>
      <c r="D40" s="22" t="s">
        <v>89</v>
      </c>
      <c r="E40" s="22" t="s">
        <v>90</v>
      </c>
    </row>
    <row r="41" ht="15.75" customHeight="1">
      <c r="A41" s="22" t="s">
        <v>115</v>
      </c>
      <c r="B41" s="22" t="s">
        <v>116</v>
      </c>
      <c r="C41" s="22" t="s">
        <v>88</v>
      </c>
      <c r="D41" s="22" t="s">
        <v>89</v>
      </c>
      <c r="E41" s="22" t="s">
        <v>90</v>
      </c>
    </row>
    <row r="42" ht="15.75" customHeight="1">
      <c r="A42" s="22" t="s">
        <v>117</v>
      </c>
      <c r="B42" s="22" t="s">
        <v>118</v>
      </c>
      <c r="C42" s="22" t="s">
        <v>88</v>
      </c>
      <c r="D42" s="22" t="s">
        <v>89</v>
      </c>
      <c r="E42" s="22" t="s">
        <v>90</v>
      </c>
    </row>
    <row r="43" ht="15.75" customHeight="1">
      <c r="A43" s="22" t="s">
        <v>119</v>
      </c>
      <c r="B43" s="22" t="s">
        <v>120</v>
      </c>
      <c r="C43" s="22" t="s">
        <v>88</v>
      </c>
      <c r="D43" s="22" t="s">
        <v>89</v>
      </c>
      <c r="E43" s="22" t="s">
        <v>90</v>
      </c>
    </row>
    <row r="44" ht="15.75" customHeight="1">
      <c r="A44" s="22" t="s">
        <v>121</v>
      </c>
      <c r="B44" s="22" t="s">
        <v>122</v>
      </c>
      <c r="C44" s="22" t="s">
        <v>88</v>
      </c>
      <c r="D44" s="22" t="s">
        <v>89</v>
      </c>
      <c r="E44" s="22" t="s">
        <v>90</v>
      </c>
    </row>
    <row r="45" ht="15.75" customHeight="1">
      <c r="A45" s="22" t="s">
        <v>123</v>
      </c>
      <c r="B45" s="22" t="s">
        <v>124</v>
      </c>
      <c r="C45" s="22" t="s">
        <v>88</v>
      </c>
      <c r="D45" s="22" t="s">
        <v>89</v>
      </c>
      <c r="E45" s="22" t="s">
        <v>90</v>
      </c>
    </row>
    <row r="46" ht="15.75" customHeight="1">
      <c r="A46" s="22" t="s">
        <v>125</v>
      </c>
      <c r="B46" s="22" t="s">
        <v>126</v>
      </c>
      <c r="C46" s="22" t="s">
        <v>88</v>
      </c>
      <c r="D46" s="22" t="s">
        <v>89</v>
      </c>
      <c r="E46" s="22" t="s">
        <v>90</v>
      </c>
    </row>
    <row r="47" ht="15.75" customHeight="1">
      <c r="A47" s="22" t="s">
        <v>127</v>
      </c>
      <c r="B47" s="22" t="s">
        <v>128</v>
      </c>
      <c r="C47" s="22" t="s">
        <v>88</v>
      </c>
      <c r="D47" s="22" t="s">
        <v>89</v>
      </c>
      <c r="E47" s="22" t="s">
        <v>90</v>
      </c>
    </row>
    <row r="48" ht="15.75" customHeight="1">
      <c r="A48" s="22" t="s">
        <v>129</v>
      </c>
      <c r="B48" s="22" t="s">
        <v>130</v>
      </c>
      <c r="C48" s="22" t="s">
        <v>88</v>
      </c>
      <c r="D48" s="22" t="s">
        <v>89</v>
      </c>
      <c r="E48" s="22" t="s">
        <v>90</v>
      </c>
    </row>
    <row r="49" ht="15.75" customHeight="1">
      <c r="A49" s="22" t="s">
        <v>131</v>
      </c>
      <c r="B49" s="22" t="s">
        <v>132</v>
      </c>
      <c r="C49" s="22" t="s">
        <v>88</v>
      </c>
      <c r="D49" s="22" t="s">
        <v>89</v>
      </c>
      <c r="E49" s="22" t="s">
        <v>90</v>
      </c>
    </row>
    <row r="50" ht="15.75" customHeight="1">
      <c r="A50" s="22" t="s">
        <v>133</v>
      </c>
      <c r="B50" s="22" t="s">
        <v>134</v>
      </c>
      <c r="C50" s="22" t="s">
        <v>88</v>
      </c>
      <c r="D50" s="22" t="s">
        <v>89</v>
      </c>
      <c r="E50" s="22" t="s">
        <v>90</v>
      </c>
    </row>
    <row r="51" ht="15.75" customHeight="1">
      <c r="A51" s="22" t="s">
        <v>135</v>
      </c>
      <c r="B51" s="22" t="s">
        <v>136</v>
      </c>
      <c r="C51" s="22" t="s">
        <v>72</v>
      </c>
      <c r="D51" s="22" t="s">
        <v>89</v>
      </c>
      <c r="E51" s="22" t="s">
        <v>31</v>
      </c>
    </row>
    <row r="52" ht="15.75" customHeight="1">
      <c r="A52" s="22" t="s">
        <v>137</v>
      </c>
      <c r="B52" s="22" t="s">
        <v>138</v>
      </c>
      <c r="C52" s="22" t="s">
        <v>72</v>
      </c>
      <c r="D52" s="22" t="s">
        <v>89</v>
      </c>
      <c r="E52" s="22" t="s">
        <v>90</v>
      </c>
    </row>
    <row r="53" ht="15.75" customHeight="1">
      <c r="A53" s="22" t="s">
        <v>139</v>
      </c>
      <c r="B53" s="22" t="s">
        <v>140</v>
      </c>
      <c r="C53" s="22" t="s">
        <v>72</v>
      </c>
      <c r="D53" s="22" t="s">
        <v>89</v>
      </c>
      <c r="E53" s="22" t="s">
        <v>90</v>
      </c>
    </row>
    <row r="54" ht="15.75" customHeight="1">
      <c r="A54" s="22" t="s">
        <v>141</v>
      </c>
      <c r="B54" s="22" t="s">
        <v>142</v>
      </c>
      <c r="C54" s="22" t="s">
        <v>143</v>
      </c>
      <c r="D54" s="22" t="s">
        <v>55</v>
      </c>
      <c r="E54" s="22" t="s">
        <v>90</v>
      </c>
    </row>
    <row r="55" ht="15.75" customHeight="1">
      <c r="A55" s="22" t="s">
        <v>144</v>
      </c>
      <c r="B55" s="22" t="s">
        <v>145</v>
      </c>
      <c r="C55" s="22" t="s">
        <v>146</v>
      </c>
      <c r="D55" s="22" t="s">
        <v>89</v>
      </c>
      <c r="E55" s="22" t="s">
        <v>90</v>
      </c>
    </row>
    <row r="56" ht="15.75" customHeight="1">
      <c r="A56" s="22" t="s">
        <v>147</v>
      </c>
      <c r="B56" s="22" t="s">
        <v>148</v>
      </c>
      <c r="C56" s="22" t="s">
        <v>146</v>
      </c>
      <c r="D56" s="22" t="s">
        <v>89</v>
      </c>
      <c r="E56" s="22" t="s">
        <v>90</v>
      </c>
    </row>
    <row r="57" ht="15.75" customHeight="1">
      <c r="A57" s="22" t="s">
        <v>149</v>
      </c>
      <c r="B57" s="22" t="s">
        <v>150</v>
      </c>
      <c r="C57" s="22" t="s">
        <v>146</v>
      </c>
      <c r="D57" s="22" t="s">
        <v>89</v>
      </c>
      <c r="E57" s="22" t="s">
        <v>90</v>
      </c>
    </row>
    <row r="58" ht="15.75" customHeight="1">
      <c r="A58" s="22" t="s">
        <v>151</v>
      </c>
      <c r="B58" s="22" t="s">
        <v>152</v>
      </c>
      <c r="C58" s="22" t="s">
        <v>146</v>
      </c>
      <c r="D58" s="22" t="s">
        <v>89</v>
      </c>
      <c r="E58" s="22" t="s">
        <v>90</v>
      </c>
    </row>
    <row r="59" ht="15.75" customHeight="1">
      <c r="A59" s="22" t="s">
        <v>153</v>
      </c>
      <c r="B59" s="22" t="s">
        <v>154</v>
      </c>
      <c r="C59" s="22" t="s">
        <v>146</v>
      </c>
      <c r="D59" s="22" t="s">
        <v>89</v>
      </c>
      <c r="E59" s="22" t="s">
        <v>90</v>
      </c>
    </row>
    <row r="60" ht="15.75" customHeight="1">
      <c r="A60" s="22" t="s">
        <v>155</v>
      </c>
      <c r="B60" s="22" t="s">
        <v>156</v>
      </c>
      <c r="C60" s="22" t="s">
        <v>157</v>
      </c>
      <c r="D60" s="22" t="s">
        <v>89</v>
      </c>
      <c r="E60" s="22" t="s">
        <v>90</v>
      </c>
    </row>
    <row r="61" ht="15.75" customHeight="1">
      <c r="A61" s="22" t="s">
        <v>158</v>
      </c>
      <c r="B61" s="22" t="s">
        <v>159</v>
      </c>
      <c r="C61" s="22" t="s">
        <v>157</v>
      </c>
      <c r="D61" s="22" t="s">
        <v>89</v>
      </c>
      <c r="E61" s="22" t="s">
        <v>90</v>
      </c>
    </row>
    <row r="62" ht="15.75" customHeight="1">
      <c r="A62" s="22" t="s">
        <v>160</v>
      </c>
      <c r="B62" s="22" t="s">
        <v>161</v>
      </c>
      <c r="C62" s="22" t="s">
        <v>157</v>
      </c>
      <c r="D62" s="22" t="s">
        <v>89</v>
      </c>
      <c r="E62" s="22" t="s">
        <v>90</v>
      </c>
    </row>
    <row r="63" ht="15.75" customHeight="1">
      <c r="A63" s="22" t="s">
        <v>162</v>
      </c>
      <c r="B63" s="22" t="s">
        <v>163</v>
      </c>
      <c r="C63" s="22" t="s">
        <v>157</v>
      </c>
      <c r="D63" s="22" t="s">
        <v>89</v>
      </c>
      <c r="E63" s="22" t="s">
        <v>90</v>
      </c>
    </row>
    <row r="64" ht="15.75" customHeight="1">
      <c r="A64" s="22" t="s">
        <v>164</v>
      </c>
      <c r="B64" s="22" t="s">
        <v>165</v>
      </c>
      <c r="C64" s="22" t="s">
        <v>157</v>
      </c>
      <c r="D64" s="22" t="s">
        <v>89</v>
      </c>
      <c r="E64" s="22" t="s">
        <v>90</v>
      </c>
    </row>
    <row r="65" ht="15.75" customHeight="1">
      <c r="A65" s="22" t="s">
        <v>166</v>
      </c>
      <c r="B65" s="22" t="s">
        <v>167</v>
      </c>
      <c r="C65" s="22" t="s">
        <v>157</v>
      </c>
      <c r="D65" s="22" t="s">
        <v>89</v>
      </c>
      <c r="E65" s="22" t="s">
        <v>90</v>
      </c>
    </row>
    <row r="66" ht="15.75" customHeight="1">
      <c r="A66" s="22" t="s">
        <v>168</v>
      </c>
      <c r="B66" s="22" t="s">
        <v>169</v>
      </c>
      <c r="C66" s="22" t="s">
        <v>157</v>
      </c>
      <c r="D66" s="22" t="s">
        <v>89</v>
      </c>
      <c r="E66" s="22" t="s">
        <v>90</v>
      </c>
    </row>
    <row r="67" ht="15.75" customHeight="1">
      <c r="A67" s="22" t="s">
        <v>170</v>
      </c>
      <c r="B67" s="22" t="s">
        <v>171</v>
      </c>
      <c r="C67" s="22" t="s">
        <v>157</v>
      </c>
      <c r="D67" s="22" t="s">
        <v>89</v>
      </c>
      <c r="E67" s="22" t="s">
        <v>90</v>
      </c>
    </row>
    <row r="68" ht="15.75" customHeight="1">
      <c r="A68" s="22" t="s">
        <v>172</v>
      </c>
      <c r="B68" s="22" t="s">
        <v>173</v>
      </c>
      <c r="C68" s="22" t="s">
        <v>157</v>
      </c>
      <c r="D68" s="22" t="s">
        <v>89</v>
      </c>
      <c r="E68" s="22" t="s">
        <v>90</v>
      </c>
    </row>
    <row r="69" ht="15.75" customHeight="1">
      <c r="A69" s="22" t="s">
        <v>174</v>
      </c>
      <c r="B69" s="22" t="s">
        <v>175</v>
      </c>
      <c r="C69" s="22" t="s">
        <v>157</v>
      </c>
      <c r="D69" s="22" t="s">
        <v>89</v>
      </c>
      <c r="E69" s="22" t="s">
        <v>90</v>
      </c>
    </row>
    <row r="70" ht="15.75" customHeight="1">
      <c r="A70" s="22" t="s">
        <v>176</v>
      </c>
      <c r="B70" s="22" t="s">
        <v>177</v>
      </c>
      <c r="C70" s="22" t="s">
        <v>157</v>
      </c>
      <c r="D70" s="22" t="s">
        <v>89</v>
      </c>
      <c r="E70" s="22" t="s">
        <v>90</v>
      </c>
    </row>
    <row r="71" ht="15.75" customHeight="1">
      <c r="A71" s="22" t="s">
        <v>178</v>
      </c>
      <c r="B71" s="22" t="s">
        <v>179</v>
      </c>
      <c r="C71" s="22" t="s">
        <v>157</v>
      </c>
      <c r="D71" s="22" t="s">
        <v>89</v>
      </c>
      <c r="E71" s="22" t="s">
        <v>90</v>
      </c>
    </row>
    <row r="72" ht="15.75" customHeight="1">
      <c r="A72" s="22" t="s">
        <v>180</v>
      </c>
      <c r="B72" s="22" t="s">
        <v>116</v>
      </c>
      <c r="C72" s="22" t="s">
        <v>157</v>
      </c>
      <c r="D72" s="22" t="s">
        <v>89</v>
      </c>
      <c r="E72" s="22" t="s">
        <v>90</v>
      </c>
    </row>
    <row r="73" ht="15.75" customHeight="1">
      <c r="A73" s="22" t="s">
        <v>181</v>
      </c>
      <c r="B73" s="22" t="s">
        <v>182</v>
      </c>
      <c r="C73" s="22" t="s">
        <v>157</v>
      </c>
      <c r="D73" s="22" t="s">
        <v>89</v>
      </c>
      <c r="E73" s="22" t="s">
        <v>90</v>
      </c>
    </row>
    <row r="74" ht="15.75" customHeight="1">
      <c r="A74" s="22" t="s">
        <v>183</v>
      </c>
      <c r="B74" s="22" t="s">
        <v>124</v>
      </c>
      <c r="C74" s="22" t="s">
        <v>157</v>
      </c>
      <c r="D74" s="22" t="s">
        <v>89</v>
      </c>
      <c r="E74" s="22" t="s">
        <v>90</v>
      </c>
    </row>
    <row r="75" ht="15.75" customHeight="1">
      <c r="A75" s="22" t="s">
        <v>184</v>
      </c>
      <c r="B75" s="22" t="s">
        <v>185</v>
      </c>
      <c r="C75" s="22" t="s">
        <v>157</v>
      </c>
      <c r="D75" s="22" t="s">
        <v>89</v>
      </c>
      <c r="E75" s="22" t="s">
        <v>90</v>
      </c>
    </row>
    <row r="76" ht="15.75" customHeight="1">
      <c r="A76" s="22" t="s">
        <v>186</v>
      </c>
      <c r="B76" s="22" t="s">
        <v>187</v>
      </c>
      <c r="C76" s="22" t="s">
        <v>157</v>
      </c>
      <c r="D76" s="22" t="s">
        <v>89</v>
      </c>
      <c r="E76" s="22" t="s">
        <v>90</v>
      </c>
    </row>
    <row r="77" ht="15.75" customHeight="1">
      <c r="A77" s="22" t="s">
        <v>188</v>
      </c>
      <c r="B77" s="22" t="s">
        <v>189</v>
      </c>
      <c r="C77" s="22" t="s">
        <v>157</v>
      </c>
      <c r="D77" s="22" t="s">
        <v>89</v>
      </c>
      <c r="E77" s="22" t="s">
        <v>90</v>
      </c>
    </row>
    <row r="78" ht="15.75" customHeight="1">
      <c r="A78" s="22" t="s">
        <v>190</v>
      </c>
      <c r="B78" s="22" t="s">
        <v>191</v>
      </c>
      <c r="C78" s="22" t="s">
        <v>157</v>
      </c>
      <c r="D78" s="22" t="s">
        <v>89</v>
      </c>
      <c r="E78" s="22" t="s">
        <v>90</v>
      </c>
    </row>
    <row r="79" ht="15.75" customHeight="1">
      <c r="A79" s="22" t="s">
        <v>192</v>
      </c>
      <c r="B79" s="22" t="s">
        <v>193</v>
      </c>
      <c r="C79" s="22" t="s">
        <v>194</v>
      </c>
      <c r="D79" s="22" t="s">
        <v>89</v>
      </c>
      <c r="E79" s="22" t="s">
        <v>90</v>
      </c>
    </row>
    <row r="80" ht="15.75" customHeight="1">
      <c r="A80" s="22" t="s">
        <v>195</v>
      </c>
      <c r="B80" s="22" t="s">
        <v>196</v>
      </c>
      <c r="C80" s="22" t="s">
        <v>194</v>
      </c>
      <c r="D80" s="22" t="s">
        <v>89</v>
      </c>
      <c r="E80" s="22" t="s">
        <v>90</v>
      </c>
    </row>
    <row r="81" ht="15.75" customHeight="1">
      <c r="A81" s="22" t="s">
        <v>197</v>
      </c>
      <c r="B81" s="22" t="s">
        <v>198</v>
      </c>
      <c r="C81" s="22" t="s">
        <v>194</v>
      </c>
      <c r="D81" s="22" t="s">
        <v>89</v>
      </c>
      <c r="E81" s="22" t="s">
        <v>90</v>
      </c>
    </row>
    <row r="82" ht="15.75" customHeight="1">
      <c r="A82" s="22" t="s">
        <v>199</v>
      </c>
      <c r="B82" s="22" t="s">
        <v>200</v>
      </c>
      <c r="C82" s="22" t="s">
        <v>157</v>
      </c>
      <c r="D82" s="22" t="s">
        <v>89</v>
      </c>
      <c r="E82" s="22" t="s">
        <v>90</v>
      </c>
    </row>
    <row r="83" ht="15.75" customHeight="1">
      <c r="A83" s="22" t="s">
        <v>201</v>
      </c>
      <c r="B83" s="22" t="s">
        <v>202</v>
      </c>
      <c r="C83" s="22" t="s">
        <v>194</v>
      </c>
      <c r="D83" s="22" t="s">
        <v>89</v>
      </c>
      <c r="E83" s="22" t="s">
        <v>90</v>
      </c>
    </row>
    <row r="84" ht="15.75" customHeight="1">
      <c r="A84" s="22" t="s">
        <v>203</v>
      </c>
      <c r="B84" s="22" t="s">
        <v>204</v>
      </c>
      <c r="C84" s="22" t="s">
        <v>194</v>
      </c>
      <c r="D84" s="22" t="s">
        <v>89</v>
      </c>
      <c r="E84" s="22" t="s">
        <v>90</v>
      </c>
    </row>
    <row r="85" ht="15.75" customHeight="1">
      <c r="A85" s="22" t="s">
        <v>205</v>
      </c>
      <c r="B85" s="22" t="s">
        <v>206</v>
      </c>
      <c r="C85" s="22" t="s">
        <v>194</v>
      </c>
      <c r="D85" s="22" t="s">
        <v>89</v>
      </c>
      <c r="E85" s="22" t="s">
        <v>90</v>
      </c>
    </row>
    <row r="86" ht="15.75" customHeight="1">
      <c r="A86" s="22" t="s">
        <v>207</v>
      </c>
      <c r="B86" s="22" t="s">
        <v>208</v>
      </c>
      <c r="C86" s="22" t="s">
        <v>194</v>
      </c>
      <c r="D86" s="22" t="s">
        <v>89</v>
      </c>
      <c r="E86" s="22" t="s">
        <v>90</v>
      </c>
    </row>
    <row r="87" ht="15.75" customHeight="1">
      <c r="A87" s="22" t="s">
        <v>209</v>
      </c>
      <c r="B87" s="22" t="s">
        <v>210</v>
      </c>
      <c r="C87" s="22" t="s">
        <v>194</v>
      </c>
      <c r="D87" s="22" t="s">
        <v>89</v>
      </c>
      <c r="E87" s="22" t="s">
        <v>90</v>
      </c>
    </row>
    <row r="88" ht="15.75" customHeight="1">
      <c r="A88" s="22" t="s">
        <v>211</v>
      </c>
      <c r="B88" s="22" t="s">
        <v>212</v>
      </c>
      <c r="C88" s="22" t="s">
        <v>194</v>
      </c>
      <c r="D88" s="22" t="s">
        <v>89</v>
      </c>
      <c r="E88" s="22" t="s">
        <v>90</v>
      </c>
    </row>
    <row r="89" ht="15.75" customHeight="1">
      <c r="A89" s="22" t="s">
        <v>213</v>
      </c>
      <c r="B89" s="22" t="s">
        <v>214</v>
      </c>
      <c r="C89" s="22" t="s">
        <v>194</v>
      </c>
      <c r="D89" s="22" t="s">
        <v>89</v>
      </c>
      <c r="E89" s="22" t="s">
        <v>90</v>
      </c>
    </row>
    <row r="90" ht="15.75" customHeight="1">
      <c r="A90" s="22" t="s">
        <v>215</v>
      </c>
      <c r="B90" s="22" t="s">
        <v>216</v>
      </c>
      <c r="C90" s="22" t="s">
        <v>194</v>
      </c>
      <c r="D90" s="22" t="s">
        <v>89</v>
      </c>
      <c r="E90" s="22" t="s">
        <v>90</v>
      </c>
    </row>
    <row r="91" ht="15.75" customHeight="1">
      <c r="A91" s="22" t="s">
        <v>217</v>
      </c>
      <c r="B91" s="22" t="s">
        <v>116</v>
      </c>
      <c r="C91" s="22" t="s">
        <v>194</v>
      </c>
      <c r="D91" s="22" t="s">
        <v>89</v>
      </c>
      <c r="E91" s="22" t="s">
        <v>90</v>
      </c>
    </row>
    <row r="92" ht="15.75" customHeight="1">
      <c r="A92" s="22" t="s">
        <v>218</v>
      </c>
      <c r="B92" s="22" t="s">
        <v>219</v>
      </c>
      <c r="C92" s="22" t="s">
        <v>194</v>
      </c>
      <c r="D92" s="22" t="s">
        <v>89</v>
      </c>
      <c r="E92" s="22" t="s">
        <v>90</v>
      </c>
    </row>
    <row r="93" ht="15.75" customHeight="1">
      <c r="A93" s="22" t="s">
        <v>220</v>
      </c>
      <c r="B93" s="22" t="s">
        <v>124</v>
      </c>
      <c r="C93" s="22" t="s">
        <v>194</v>
      </c>
      <c r="D93" s="22" t="s">
        <v>89</v>
      </c>
      <c r="E93" s="22" t="s">
        <v>90</v>
      </c>
    </row>
    <row r="94" ht="15.75" customHeight="1">
      <c r="A94" s="22" t="s">
        <v>221</v>
      </c>
      <c r="B94" s="22" t="s">
        <v>222</v>
      </c>
      <c r="C94" s="22" t="s">
        <v>194</v>
      </c>
      <c r="D94" s="22" t="s">
        <v>89</v>
      </c>
      <c r="E94" s="22" t="s">
        <v>90</v>
      </c>
    </row>
    <row r="95" ht="15.75" customHeight="1">
      <c r="A95" s="22" t="s">
        <v>223</v>
      </c>
      <c r="B95" s="22" t="s">
        <v>224</v>
      </c>
      <c r="C95" s="22" t="s">
        <v>194</v>
      </c>
      <c r="D95" s="22" t="s">
        <v>89</v>
      </c>
      <c r="E95" s="22" t="s">
        <v>90</v>
      </c>
    </row>
    <row r="96" ht="15.75" customHeight="1">
      <c r="A96" s="22" t="s">
        <v>225</v>
      </c>
      <c r="B96" s="22" t="s">
        <v>226</v>
      </c>
      <c r="C96" s="22" t="s">
        <v>194</v>
      </c>
      <c r="D96" s="22" t="s">
        <v>89</v>
      </c>
      <c r="E96" s="22" t="s">
        <v>90</v>
      </c>
    </row>
    <row r="97" ht="15.75" customHeight="1">
      <c r="A97" s="22" t="s">
        <v>227</v>
      </c>
      <c r="B97" s="22" t="s">
        <v>191</v>
      </c>
      <c r="C97" s="22" t="s">
        <v>194</v>
      </c>
      <c r="D97" s="22" t="s">
        <v>89</v>
      </c>
      <c r="E97" s="22" t="s">
        <v>90</v>
      </c>
    </row>
    <row r="98" ht="15.75" customHeight="1">
      <c r="A98" s="22" t="s">
        <v>228</v>
      </c>
      <c r="B98" s="22" t="s">
        <v>229</v>
      </c>
      <c r="C98" s="22" t="s">
        <v>230</v>
      </c>
      <c r="D98" s="22" t="s">
        <v>89</v>
      </c>
      <c r="E98" s="22" t="s">
        <v>90</v>
      </c>
    </row>
    <row r="99" ht="15.75" customHeight="1">
      <c r="A99" s="22" t="s">
        <v>231</v>
      </c>
      <c r="B99" s="22" t="s">
        <v>232</v>
      </c>
      <c r="C99" s="22" t="s">
        <v>230</v>
      </c>
      <c r="D99" s="22" t="s">
        <v>89</v>
      </c>
      <c r="E99" s="22" t="s">
        <v>90</v>
      </c>
    </row>
    <row r="100" ht="15.75" customHeight="1">
      <c r="A100" s="22" t="s">
        <v>233</v>
      </c>
      <c r="B100" s="22" t="s">
        <v>234</v>
      </c>
      <c r="C100" s="22" t="s">
        <v>230</v>
      </c>
      <c r="D100" s="22" t="s">
        <v>89</v>
      </c>
      <c r="E100" s="22" t="s">
        <v>90</v>
      </c>
    </row>
    <row r="101" ht="15.75" customHeight="1">
      <c r="A101" s="22" t="s">
        <v>235</v>
      </c>
      <c r="B101" s="22" t="s">
        <v>236</v>
      </c>
      <c r="C101" s="22" t="s">
        <v>230</v>
      </c>
      <c r="D101" s="22" t="s">
        <v>89</v>
      </c>
      <c r="E101" s="22" t="s">
        <v>90</v>
      </c>
    </row>
    <row r="102" ht="15.75" customHeight="1">
      <c r="A102" s="22" t="s">
        <v>237</v>
      </c>
      <c r="B102" s="22" t="s">
        <v>238</v>
      </c>
      <c r="C102" s="22" t="s">
        <v>230</v>
      </c>
      <c r="D102" s="22" t="s">
        <v>89</v>
      </c>
      <c r="E102" s="22" t="s">
        <v>90</v>
      </c>
    </row>
    <row r="103" ht="15.75" customHeight="1">
      <c r="A103" s="22" t="s">
        <v>239</v>
      </c>
      <c r="B103" s="22" t="s">
        <v>240</v>
      </c>
      <c r="C103" s="22" t="s">
        <v>230</v>
      </c>
      <c r="D103" s="22" t="s">
        <v>89</v>
      </c>
      <c r="E103" s="22" t="s">
        <v>90</v>
      </c>
    </row>
    <row r="104" ht="15.75" customHeight="1">
      <c r="A104" s="22" t="s">
        <v>241</v>
      </c>
      <c r="B104" s="22" t="s">
        <v>240</v>
      </c>
      <c r="C104" s="22" t="s">
        <v>230</v>
      </c>
      <c r="D104" s="22" t="s">
        <v>89</v>
      </c>
      <c r="E104" s="22" t="s">
        <v>90</v>
      </c>
    </row>
    <row r="105" ht="15.75" customHeight="1">
      <c r="A105" s="22" t="s">
        <v>242</v>
      </c>
      <c r="B105" s="22" t="s">
        <v>243</v>
      </c>
      <c r="C105" s="22" t="s">
        <v>244</v>
      </c>
      <c r="D105" s="22" t="s">
        <v>89</v>
      </c>
      <c r="E105" s="22" t="s">
        <v>90</v>
      </c>
    </row>
    <row r="106" ht="15.75" customHeight="1">
      <c r="A106" s="22" t="s">
        <v>245</v>
      </c>
      <c r="B106" s="22" t="s">
        <v>246</v>
      </c>
      <c r="C106" s="22" t="s">
        <v>244</v>
      </c>
      <c r="D106" s="22" t="s">
        <v>89</v>
      </c>
      <c r="E106" s="22" t="s">
        <v>90</v>
      </c>
    </row>
    <row r="107" ht="15.75" customHeight="1">
      <c r="A107" s="22" t="s">
        <v>247</v>
      </c>
      <c r="B107" s="22" t="s">
        <v>248</v>
      </c>
      <c r="C107" s="22" t="s">
        <v>244</v>
      </c>
      <c r="D107" s="22" t="s">
        <v>89</v>
      </c>
      <c r="E107" s="22" t="s">
        <v>90</v>
      </c>
    </row>
    <row r="108" ht="15.75" customHeight="1">
      <c r="A108" s="22" t="s">
        <v>249</v>
      </c>
      <c r="B108" s="22" t="s">
        <v>250</v>
      </c>
      <c r="C108" s="22" t="s">
        <v>244</v>
      </c>
      <c r="D108" s="22" t="s">
        <v>89</v>
      </c>
      <c r="E108" s="22" t="s">
        <v>90</v>
      </c>
    </row>
    <row r="109" ht="15.75" customHeight="1">
      <c r="A109" s="22" t="s">
        <v>251</v>
      </c>
      <c r="B109" s="22" t="s">
        <v>252</v>
      </c>
      <c r="C109" s="22" t="s">
        <v>244</v>
      </c>
      <c r="D109" s="22" t="s">
        <v>89</v>
      </c>
      <c r="E109" s="22" t="s">
        <v>90</v>
      </c>
    </row>
    <row r="110" ht="15.75" customHeight="1">
      <c r="A110" s="22" t="s">
        <v>253</v>
      </c>
      <c r="B110" s="22" t="s">
        <v>254</v>
      </c>
      <c r="C110" s="22" t="s">
        <v>244</v>
      </c>
      <c r="D110" s="22" t="s">
        <v>89</v>
      </c>
      <c r="E110" s="22" t="s">
        <v>90</v>
      </c>
    </row>
    <row r="111" ht="15.75" customHeight="1">
      <c r="A111" s="22" t="s">
        <v>255</v>
      </c>
      <c r="B111" s="22" t="s">
        <v>256</v>
      </c>
      <c r="C111" s="22" t="s">
        <v>244</v>
      </c>
      <c r="D111" s="22" t="s">
        <v>89</v>
      </c>
      <c r="E111" s="22" t="s">
        <v>90</v>
      </c>
    </row>
    <row r="112" ht="15.75" customHeight="1">
      <c r="A112" s="22" t="s">
        <v>257</v>
      </c>
      <c r="B112" s="22" t="s">
        <v>193</v>
      </c>
      <c r="C112" s="22" t="s">
        <v>258</v>
      </c>
      <c r="D112" s="22" t="s">
        <v>89</v>
      </c>
      <c r="E112" s="22" t="s">
        <v>90</v>
      </c>
    </row>
    <row r="113" ht="15.75" customHeight="1">
      <c r="A113" s="22" t="s">
        <v>259</v>
      </c>
      <c r="B113" s="22" t="s">
        <v>260</v>
      </c>
      <c r="C113" s="22" t="s">
        <v>258</v>
      </c>
      <c r="D113" s="22" t="s">
        <v>89</v>
      </c>
      <c r="E113" s="22" t="s">
        <v>90</v>
      </c>
    </row>
    <row r="114" ht="15.75" customHeight="1">
      <c r="A114" s="22" t="s">
        <v>261</v>
      </c>
      <c r="B114" s="22" t="s">
        <v>262</v>
      </c>
      <c r="C114" s="22" t="s">
        <v>258</v>
      </c>
      <c r="D114" s="22" t="s">
        <v>89</v>
      </c>
      <c r="E114" s="22" t="s">
        <v>90</v>
      </c>
    </row>
    <row r="115" ht="15.75" customHeight="1">
      <c r="A115" s="22" t="s">
        <v>263</v>
      </c>
      <c r="B115" s="22" t="s">
        <v>264</v>
      </c>
      <c r="C115" s="22" t="s">
        <v>258</v>
      </c>
      <c r="D115" s="22" t="s">
        <v>89</v>
      </c>
      <c r="E115" s="22" t="s">
        <v>90</v>
      </c>
    </row>
    <row r="116" ht="15.75" customHeight="1">
      <c r="A116" s="22" t="s">
        <v>265</v>
      </c>
      <c r="B116" s="22" t="s">
        <v>266</v>
      </c>
      <c r="C116" s="22" t="s">
        <v>258</v>
      </c>
      <c r="D116" s="22" t="s">
        <v>89</v>
      </c>
      <c r="E116" s="22" t="s">
        <v>90</v>
      </c>
    </row>
    <row r="117" ht="15.75" customHeight="1">
      <c r="A117" s="22" t="s">
        <v>267</v>
      </c>
      <c r="B117" s="22" t="s">
        <v>268</v>
      </c>
      <c r="C117" s="22" t="s">
        <v>258</v>
      </c>
      <c r="D117" s="22" t="s">
        <v>89</v>
      </c>
      <c r="E117" s="22" t="s">
        <v>90</v>
      </c>
    </row>
    <row r="118" ht="15.75" customHeight="1">
      <c r="A118" s="22" t="s">
        <v>269</v>
      </c>
      <c r="B118" s="22" t="s">
        <v>270</v>
      </c>
      <c r="C118" s="22" t="s">
        <v>258</v>
      </c>
      <c r="D118" s="22" t="s">
        <v>89</v>
      </c>
      <c r="E118" s="22" t="s">
        <v>90</v>
      </c>
    </row>
    <row r="119" ht="15.75" customHeight="1">
      <c r="A119" s="22" t="s">
        <v>271</v>
      </c>
      <c r="B119" s="22" t="s">
        <v>272</v>
      </c>
      <c r="C119" s="22" t="s">
        <v>273</v>
      </c>
      <c r="D119" s="22" t="s">
        <v>89</v>
      </c>
      <c r="E119" s="22" t="s">
        <v>90</v>
      </c>
    </row>
    <row r="120" ht="15.75" customHeight="1">
      <c r="A120" s="22" t="s">
        <v>274</v>
      </c>
      <c r="B120" s="22" t="s">
        <v>275</v>
      </c>
      <c r="C120" s="22" t="s">
        <v>273</v>
      </c>
      <c r="D120" s="22" t="s">
        <v>89</v>
      </c>
      <c r="E120" s="22" t="s">
        <v>90</v>
      </c>
    </row>
    <row r="121" ht="15.75" customHeight="1">
      <c r="A121" s="22" t="s">
        <v>276</v>
      </c>
      <c r="B121" s="22" t="s">
        <v>277</v>
      </c>
      <c r="C121" s="22" t="s">
        <v>273</v>
      </c>
      <c r="D121" s="22" t="s">
        <v>89</v>
      </c>
      <c r="E121" s="22" t="s">
        <v>90</v>
      </c>
    </row>
    <row r="122" ht="15.75" customHeight="1">
      <c r="A122" s="22" t="s">
        <v>278</v>
      </c>
      <c r="B122" s="22" t="s">
        <v>279</v>
      </c>
      <c r="C122" s="22" t="s">
        <v>273</v>
      </c>
      <c r="D122" s="22" t="s">
        <v>89</v>
      </c>
      <c r="E122" s="22" t="s">
        <v>90</v>
      </c>
    </row>
    <row r="123" ht="15.75" customHeight="1">
      <c r="A123" s="22" t="s">
        <v>280</v>
      </c>
      <c r="B123" s="22" t="s">
        <v>279</v>
      </c>
      <c r="C123" s="22" t="s">
        <v>273</v>
      </c>
      <c r="D123" s="22" t="s">
        <v>89</v>
      </c>
      <c r="E123" s="22" t="s">
        <v>90</v>
      </c>
    </row>
    <row r="124" ht="15.75" customHeight="1">
      <c r="A124" s="22" t="s">
        <v>281</v>
      </c>
      <c r="B124" s="22" t="s">
        <v>282</v>
      </c>
      <c r="C124" s="22" t="s">
        <v>273</v>
      </c>
      <c r="D124" s="22" t="s">
        <v>89</v>
      </c>
      <c r="E124" s="22" t="s">
        <v>90</v>
      </c>
    </row>
    <row r="125" ht="15.75" customHeight="1">
      <c r="A125" s="22" t="s">
        <v>283</v>
      </c>
      <c r="B125" s="22" t="s">
        <v>284</v>
      </c>
      <c r="C125" s="22" t="s">
        <v>273</v>
      </c>
      <c r="D125" s="22" t="s">
        <v>89</v>
      </c>
      <c r="E125" s="22" t="s">
        <v>90</v>
      </c>
    </row>
    <row r="126" ht="15.75" customHeight="1">
      <c r="A126" s="22" t="s">
        <v>285</v>
      </c>
      <c r="B126" s="22" t="s">
        <v>286</v>
      </c>
      <c r="C126" s="22" t="s">
        <v>273</v>
      </c>
      <c r="D126" s="22" t="s">
        <v>89</v>
      </c>
      <c r="E126" s="22" t="s">
        <v>90</v>
      </c>
    </row>
    <row r="127" ht="15.75" customHeight="1">
      <c r="A127" s="22" t="s">
        <v>287</v>
      </c>
      <c r="B127" s="22" t="s">
        <v>167</v>
      </c>
      <c r="C127" s="22" t="s">
        <v>288</v>
      </c>
      <c r="D127" s="22" t="s">
        <v>89</v>
      </c>
      <c r="E127" s="22" t="s">
        <v>90</v>
      </c>
    </row>
    <row r="128" ht="15.75" customHeight="1">
      <c r="A128" s="22" t="s">
        <v>289</v>
      </c>
      <c r="B128" s="22" t="s">
        <v>290</v>
      </c>
      <c r="C128" s="22" t="s">
        <v>288</v>
      </c>
      <c r="D128" s="22" t="s">
        <v>89</v>
      </c>
      <c r="E128" s="22" t="s">
        <v>90</v>
      </c>
    </row>
    <row r="129" ht="15.75" customHeight="1">
      <c r="A129" s="22" t="s">
        <v>291</v>
      </c>
      <c r="B129" s="22" t="s">
        <v>292</v>
      </c>
      <c r="C129" s="22" t="s">
        <v>288</v>
      </c>
      <c r="D129" s="22" t="s">
        <v>89</v>
      </c>
      <c r="E129" s="22" t="s">
        <v>90</v>
      </c>
    </row>
    <row r="130" ht="15.75" customHeight="1">
      <c r="A130" s="22" t="s">
        <v>293</v>
      </c>
      <c r="B130" s="22" t="s">
        <v>294</v>
      </c>
      <c r="C130" s="22" t="s">
        <v>288</v>
      </c>
      <c r="D130" s="22" t="s">
        <v>89</v>
      </c>
      <c r="E130" s="22" t="s">
        <v>90</v>
      </c>
    </row>
    <row r="131" ht="15.75" customHeight="1">
      <c r="A131" s="22" t="s">
        <v>19</v>
      </c>
      <c r="B131" s="22" t="s">
        <v>295</v>
      </c>
      <c r="C131" s="22" t="s">
        <v>288</v>
      </c>
      <c r="D131" s="22" t="s">
        <v>89</v>
      </c>
      <c r="E131" s="22" t="s">
        <v>90</v>
      </c>
    </row>
    <row r="132" ht="15.75" customHeight="1">
      <c r="A132" s="22" t="s">
        <v>296</v>
      </c>
      <c r="B132" s="22" t="s">
        <v>297</v>
      </c>
      <c r="C132" s="22" t="s">
        <v>288</v>
      </c>
      <c r="D132" s="22" t="s">
        <v>89</v>
      </c>
      <c r="E132" s="22" t="s">
        <v>90</v>
      </c>
    </row>
    <row r="133" ht="15.75" customHeight="1">
      <c r="A133" s="22" t="s">
        <v>298</v>
      </c>
      <c r="B133" s="22" t="s">
        <v>299</v>
      </c>
      <c r="C133" s="22" t="s">
        <v>288</v>
      </c>
      <c r="D133" s="22" t="s">
        <v>89</v>
      </c>
      <c r="E133" s="22" t="s">
        <v>90</v>
      </c>
    </row>
    <row r="134" ht="15.75" customHeight="1">
      <c r="A134" s="22" t="s">
        <v>300</v>
      </c>
      <c r="B134" s="22" t="s">
        <v>301</v>
      </c>
      <c r="C134" s="22" t="s">
        <v>288</v>
      </c>
      <c r="D134" s="22" t="s">
        <v>89</v>
      </c>
      <c r="E134" s="22" t="s">
        <v>90</v>
      </c>
    </row>
    <row r="135" ht="15.75" customHeight="1">
      <c r="A135" s="22" t="s">
        <v>302</v>
      </c>
      <c r="B135" s="22" t="s">
        <v>303</v>
      </c>
      <c r="C135" s="22" t="s">
        <v>288</v>
      </c>
      <c r="D135" s="22" t="s">
        <v>89</v>
      </c>
      <c r="E135" s="22" t="s">
        <v>90</v>
      </c>
    </row>
    <row r="136" ht="15.75" customHeight="1">
      <c r="A136" s="22" t="s">
        <v>304</v>
      </c>
      <c r="B136" s="22" t="s">
        <v>305</v>
      </c>
      <c r="C136" s="22" t="s">
        <v>288</v>
      </c>
      <c r="D136" s="22" t="s">
        <v>89</v>
      </c>
      <c r="E136" s="22" t="s">
        <v>90</v>
      </c>
    </row>
    <row r="137" ht="15.75" customHeight="1">
      <c r="A137" s="22" t="s">
        <v>306</v>
      </c>
      <c r="B137" s="22" t="s">
        <v>307</v>
      </c>
      <c r="C137" s="22" t="s">
        <v>288</v>
      </c>
      <c r="D137" s="22" t="s">
        <v>89</v>
      </c>
      <c r="E137" s="22" t="s">
        <v>90</v>
      </c>
    </row>
    <row r="138" ht="15.75" customHeight="1">
      <c r="A138" s="22" t="s">
        <v>308</v>
      </c>
      <c r="B138" s="22" t="s">
        <v>309</v>
      </c>
      <c r="C138" s="22" t="s">
        <v>288</v>
      </c>
      <c r="D138" s="22" t="s">
        <v>89</v>
      </c>
      <c r="E138" s="22" t="s">
        <v>90</v>
      </c>
    </row>
    <row r="139" ht="15.75" customHeight="1">
      <c r="A139" s="22" t="s">
        <v>310</v>
      </c>
      <c r="B139" s="22" t="s">
        <v>311</v>
      </c>
      <c r="C139" s="22" t="s">
        <v>288</v>
      </c>
      <c r="D139" s="22" t="s">
        <v>89</v>
      </c>
      <c r="E139" s="22" t="s">
        <v>90</v>
      </c>
    </row>
    <row r="140" ht="15.75" customHeight="1">
      <c r="A140" s="22" t="s">
        <v>312</v>
      </c>
      <c r="B140" s="22" t="s">
        <v>313</v>
      </c>
      <c r="C140" s="22" t="s">
        <v>288</v>
      </c>
      <c r="D140" s="22" t="s">
        <v>89</v>
      </c>
      <c r="E140" s="22" t="s">
        <v>90</v>
      </c>
    </row>
    <row r="141" ht="15.75" customHeight="1">
      <c r="A141" s="22" t="s">
        <v>314</v>
      </c>
      <c r="B141" s="22" t="s">
        <v>315</v>
      </c>
      <c r="C141" s="22" t="s">
        <v>288</v>
      </c>
      <c r="D141" s="22" t="s">
        <v>89</v>
      </c>
      <c r="E141" s="22" t="s">
        <v>90</v>
      </c>
    </row>
    <row r="142" ht="15.75" customHeight="1">
      <c r="A142" s="22" t="s">
        <v>316</v>
      </c>
      <c r="B142" s="22" t="s">
        <v>317</v>
      </c>
      <c r="C142" s="22" t="s">
        <v>288</v>
      </c>
      <c r="D142" s="22" t="s">
        <v>89</v>
      </c>
      <c r="E142" s="22" t="s">
        <v>90</v>
      </c>
    </row>
    <row r="143" ht="15.75" customHeight="1">
      <c r="A143" s="22" t="s">
        <v>318</v>
      </c>
      <c r="B143" s="22" t="s">
        <v>319</v>
      </c>
      <c r="C143" s="22" t="s">
        <v>288</v>
      </c>
      <c r="D143" s="22" t="s">
        <v>89</v>
      </c>
      <c r="E143" s="22" t="s">
        <v>90</v>
      </c>
    </row>
    <row r="144" ht="15.75" customHeight="1">
      <c r="A144" s="22" t="s">
        <v>320</v>
      </c>
      <c r="B144" s="22" t="s">
        <v>321</v>
      </c>
      <c r="C144" s="22" t="s">
        <v>288</v>
      </c>
      <c r="D144" s="22" t="s">
        <v>89</v>
      </c>
      <c r="E144" s="22" t="s">
        <v>90</v>
      </c>
    </row>
    <row r="145" ht="15.75" customHeight="1">
      <c r="A145" s="22" t="s">
        <v>322</v>
      </c>
      <c r="B145" s="22" t="s">
        <v>323</v>
      </c>
      <c r="C145" s="22" t="s">
        <v>288</v>
      </c>
      <c r="D145" s="22" t="s">
        <v>89</v>
      </c>
      <c r="E145" s="22" t="s">
        <v>90</v>
      </c>
    </row>
    <row r="146" ht="15.75" customHeight="1">
      <c r="A146" s="22" t="s">
        <v>324</v>
      </c>
      <c r="B146" s="22" t="s">
        <v>325</v>
      </c>
      <c r="C146" s="22" t="s">
        <v>288</v>
      </c>
      <c r="D146" s="22" t="s">
        <v>89</v>
      </c>
      <c r="E146" s="22" t="s">
        <v>90</v>
      </c>
    </row>
    <row r="147" ht="15.75" customHeight="1">
      <c r="A147" s="22" t="s">
        <v>326</v>
      </c>
      <c r="B147" s="22" t="s">
        <v>327</v>
      </c>
      <c r="C147" s="22" t="s">
        <v>288</v>
      </c>
      <c r="D147" s="22" t="s">
        <v>89</v>
      </c>
      <c r="E147" s="22" t="s">
        <v>90</v>
      </c>
    </row>
    <row r="148" ht="15.75" customHeight="1">
      <c r="A148" s="22" t="s">
        <v>328</v>
      </c>
      <c r="B148" s="22" t="s">
        <v>329</v>
      </c>
      <c r="C148" s="22" t="s">
        <v>288</v>
      </c>
      <c r="D148" s="22" t="s">
        <v>89</v>
      </c>
      <c r="E148" s="22" t="s">
        <v>90</v>
      </c>
    </row>
    <row r="149" ht="15.75" customHeight="1">
      <c r="A149" s="22" t="s">
        <v>330</v>
      </c>
      <c r="B149" s="22" t="s">
        <v>331</v>
      </c>
      <c r="C149" s="22" t="s">
        <v>273</v>
      </c>
      <c r="D149" s="22" t="s">
        <v>89</v>
      </c>
      <c r="E149" s="22" t="s">
        <v>90</v>
      </c>
    </row>
    <row r="150" ht="15.75" customHeight="1">
      <c r="A150" s="22" t="s">
        <v>332</v>
      </c>
      <c r="B150" s="22" t="s">
        <v>333</v>
      </c>
      <c r="C150" s="22" t="s">
        <v>288</v>
      </c>
      <c r="D150" s="22" t="s">
        <v>89</v>
      </c>
      <c r="E150" s="22" t="s">
        <v>90</v>
      </c>
    </row>
    <row r="151" ht="15.75" customHeight="1">
      <c r="A151" s="22" t="s">
        <v>334</v>
      </c>
      <c r="B151" s="22" t="s">
        <v>335</v>
      </c>
      <c r="C151" s="22" t="s">
        <v>288</v>
      </c>
      <c r="D151" s="22" t="s">
        <v>89</v>
      </c>
      <c r="E151" s="22" t="s">
        <v>90</v>
      </c>
    </row>
    <row r="152" ht="15.75" customHeight="1">
      <c r="A152" s="22" t="s">
        <v>336</v>
      </c>
      <c r="B152" s="22" t="s">
        <v>337</v>
      </c>
      <c r="C152" s="22" t="s">
        <v>288</v>
      </c>
      <c r="D152" s="22" t="s">
        <v>89</v>
      </c>
      <c r="E152" s="22" t="s">
        <v>90</v>
      </c>
    </row>
    <row r="153" ht="15.75" customHeight="1">
      <c r="A153" s="22" t="s">
        <v>338</v>
      </c>
      <c r="B153" s="22" t="s">
        <v>116</v>
      </c>
      <c r="C153" s="22" t="s">
        <v>288</v>
      </c>
      <c r="D153" s="22" t="s">
        <v>89</v>
      </c>
      <c r="E153" s="22" t="s">
        <v>90</v>
      </c>
    </row>
    <row r="154" ht="15.75" customHeight="1">
      <c r="A154" s="22" t="s">
        <v>339</v>
      </c>
      <c r="B154" s="22" t="s">
        <v>340</v>
      </c>
      <c r="C154" s="22" t="s">
        <v>288</v>
      </c>
      <c r="D154" s="22" t="s">
        <v>89</v>
      </c>
      <c r="E154" s="22" t="s">
        <v>90</v>
      </c>
    </row>
    <row r="155" ht="15.75" customHeight="1">
      <c r="A155" s="22" t="s">
        <v>341</v>
      </c>
      <c r="B155" s="22" t="s">
        <v>342</v>
      </c>
      <c r="C155" s="22" t="s">
        <v>288</v>
      </c>
      <c r="D155" s="22" t="s">
        <v>89</v>
      </c>
      <c r="E155" s="22" t="s">
        <v>90</v>
      </c>
    </row>
    <row r="156" ht="15.75" customHeight="1">
      <c r="A156" s="22" t="s">
        <v>343</v>
      </c>
      <c r="B156" s="22" t="s">
        <v>344</v>
      </c>
      <c r="C156" s="22" t="s">
        <v>288</v>
      </c>
      <c r="D156" s="22" t="s">
        <v>89</v>
      </c>
      <c r="E156" s="22" t="s">
        <v>90</v>
      </c>
    </row>
    <row r="157" ht="15.75" customHeight="1">
      <c r="A157" s="22" t="s">
        <v>345</v>
      </c>
      <c r="B157" s="22" t="s">
        <v>346</v>
      </c>
      <c r="C157" s="22" t="s">
        <v>288</v>
      </c>
      <c r="D157" s="22" t="s">
        <v>89</v>
      </c>
      <c r="E157" s="22" t="s">
        <v>90</v>
      </c>
    </row>
    <row r="158" ht="15.75" customHeight="1">
      <c r="A158" s="22" t="s">
        <v>347</v>
      </c>
      <c r="B158" s="22" t="s">
        <v>348</v>
      </c>
      <c r="C158" s="22" t="s">
        <v>288</v>
      </c>
      <c r="D158" s="22" t="s">
        <v>89</v>
      </c>
      <c r="E158" s="22" t="s">
        <v>90</v>
      </c>
    </row>
    <row r="159" ht="15.75" customHeight="1">
      <c r="A159" s="22" t="s">
        <v>349</v>
      </c>
      <c r="B159" s="22" t="s">
        <v>350</v>
      </c>
      <c r="C159" s="22" t="s">
        <v>288</v>
      </c>
      <c r="D159" s="22" t="s">
        <v>89</v>
      </c>
      <c r="E159" s="22" t="s">
        <v>90</v>
      </c>
    </row>
    <row r="160" ht="15.75" customHeight="1">
      <c r="A160" s="22" t="s">
        <v>351</v>
      </c>
      <c r="B160" s="22" t="s">
        <v>352</v>
      </c>
      <c r="C160" s="22" t="s">
        <v>288</v>
      </c>
      <c r="D160" s="22" t="s">
        <v>89</v>
      </c>
      <c r="E160" s="22" t="s">
        <v>90</v>
      </c>
    </row>
    <row r="161" ht="15.75" customHeight="1">
      <c r="A161" s="22" t="s">
        <v>353</v>
      </c>
      <c r="B161" s="22" t="s">
        <v>354</v>
      </c>
      <c r="C161" s="22" t="s">
        <v>288</v>
      </c>
      <c r="D161" s="22" t="s">
        <v>89</v>
      </c>
      <c r="E161" s="22" t="s">
        <v>90</v>
      </c>
    </row>
    <row r="162" ht="15.75" customHeight="1">
      <c r="A162" s="22" t="s">
        <v>355</v>
      </c>
      <c r="B162" s="22" t="s">
        <v>356</v>
      </c>
      <c r="C162" s="22" t="s">
        <v>288</v>
      </c>
      <c r="D162" s="22" t="s">
        <v>89</v>
      </c>
      <c r="E162" s="22" t="s">
        <v>90</v>
      </c>
    </row>
    <row r="163" ht="15.75" customHeight="1">
      <c r="A163" s="22" t="s">
        <v>357</v>
      </c>
      <c r="B163" s="22" t="s">
        <v>124</v>
      </c>
      <c r="C163" s="22" t="s">
        <v>288</v>
      </c>
      <c r="D163" s="22" t="s">
        <v>89</v>
      </c>
      <c r="E163" s="22" t="s">
        <v>90</v>
      </c>
    </row>
    <row r="164" ht="15.75" customHeight="1">
      <c r="A164" s="22" t="s">
        <v>358</v>
      </c>
      <c r="B164" s="22" t="s">
        <v>359</v>
      </c>
      <c r="C164" s="22" t="s">
        <v>288</v>
      </c>
      <c r="D164" s="22" t="s">
        <v>89</v>
      </c>
      <c r="E164" s="22" t="s">
        <v>90</v>
      </c>
    </row>
    <row r="165" ht="15.75" customHeight="1">
      <c r="A165" s="22" t="s">
        <v>360</v>
      </c>
      <c r="B165" s="22" t="s">
        <v>361</v>
      </c>
      <c r="C165" s="22" t="s">
        <v>288</v>
      </c>
      <c r="D165" s="22" t="s">
        <v>89</v>
      </c>
      <c r="E165" s="22" t="s">
        <v>90</v>
      </c>
    </row>
    <row r="166" ht="15.75" customHeight="1">
      <c r="A166" s="22" t="s">
        <v>362</v>
      </c>
      <c r="B166" s="22" t="s">
        <v>363</v>
      </c>
      <c r="C166" s="22" t="s">
        <v>288</v>
      </c>
      <c r="D166" s="22" t="s">
        <v>89</v>
      </c>
      <c r="E166" s="22" t="s">
        <v>90</v>
      </c>
    </row>
    <row r="167" ht="15.75" customHeight="1">
      <c r="A167" s="22" t="s">
        <v>364</v>
      </c>
      <c r="B167" s="22" t="s">
        <v>365</v>
      </c>
      <c r="C167" s="22" t="s">
        <v>288</v>
      </c>
      <c r="D167" s="22" t="s">
        <v>89</v>
      </c>
      <c r="E167" s="22" t="s">
        <v>90</v>
      </c>
    </row>
    <row r="168" ht="15.75" customHeight="1">
      <c r="A168" s="22" t="s">
        <v>366</v>
      </c>
      <c r="B168" s="22" t="s">
        <v>367</v>
      </c>
      <c r="C168" s="22" t="s">
        <v>288</v>
      </c>
      <c r="D168" s="22" t="s">
        <v>89</v>
      </c>
      <c r="E168" s="22" t="s">
        <v>90</v>
      </c>
    </row>
    <row r="169" ht="15.75" customHeight="1">
      <c r="A169" s="22" t="s">
        <v>18</v>
      </c>
      <c r="B169" s="22" t="s">
        <v>368</v>
      </c>
      <c r="C169" s="22" t="s">
        <v>369</v>
      </c>
      <c r="D169" s="22" t="s">
        <v>55</v>
      </c>
      <c r="E169" s="22" t="s">
        <v>31</v>
      </c>
    </row>
    <row r="170" ht="15.75" customHeight="1">
      <c r="A170" s="22" t="s">
        <v>370</v>
      </c>
      <c r="B170" s="22" t="s">
        <v>371</v>
      </c>
      <c r="C170" s="22" t="s">
        <v>372</v>
      </c>
      <c r="D170" s="22" t="s">
        <v>89</v>
      </c>
      <c r="E170" s="22" t="s">
        <v>90</v>
      </c>
    </row>
    <row r="171" ht="15.75" customHeight="1">
      <c r="A171" s="22" t="s">
        <v>373</v>
      </c>
      <c r="B171" s="22" t="s">
        <v>374</v>
      </c>
      <c r="C171" s="22" t="s">
        <v>372</v>
      </c>
      <c r="D171" s="22" t="s">
        <v>89</v>
      </c>
      <c r="E171" s="22" t="s">
        <v>90</v>
      </c>
    </row>
    <row r="172" ht="15.75" customHeight="1">
      <c r="A172" s="22" t="s">
        <v>375</v>
      </c>
      <c r="B172" s="22" t="s">
        <v>376</v>
      </c>
      <c r="C172" s="22" t="s">
        <v>372</v>
      </c>
      <c r="D172" s="22" t="s">
        <v>89</v>
      </c>
      <c r="E172" s="22" t="s">
        <v>90</v>
      </c>
    </row>
    <row r="173" ht="15.75" customHeight="1">
      <c r="A173" s="22" t="s">
        <v>377</v>
      </c>
      <c r="B173" s="22" t="s">
        <v>378</v>
      </c>
      <c r="C173" s="22" t="s">
        <v>372</v>
      </c>
      <c r="D173" s="22" t="s">
        <v>89</v>
      </c>
      <c r="E173" s="22" t="s">
        <v>90</v>
      </c>
    </row>
    <row r="174" ht="15.75" customHeight="1">
      <c r="A174" s="22" t="s">
        <v>379</v>
      </c>
      <c r="B174" s="22" t="s">
        <v>200</v>
      </c>
      <c r="C174" s="22" t="s">
        <v>372</v>
      </c>
      <c r="D174" s="22" t="s">
        <v>89</v>
      </c>
      <c r="E174" s="22" t="s">
        <v>90</v>
      </c>
    </row>
    <row r="175" ht="15.75" customHeight="1">
      <c r="A175" s="22" t="s">
        <v>380</v>
      </c>
      <c r="B175" s="22" t="s">
        <v>381</v>
      </c>
      <c r="C175" s="22" t="s">
        <v>372</v>
      </c>
      <c r="D175" s="22" t="s">
        <v>89</v>
      </c>
      <c r="E175" s="22" t="s">
        <v>90</v>
      </c>
    </row>
    <row r="176" ht="15.75" customHeight="1">
      <c r="A176" s="22" t="s">
        <v>382</v>
      </c>
      <c r="B176" s="22" t="s">
        <v>116</v>
      </c>
      <c r="C176" s="22" t="s">
        <v>372</v>
      </c>
      <c r="D176" s="22" t="s">
        <v>89</v>
      </c>
      <c r="E176" s="22" t="s">
        <v>90</v>
      </c>
    </row>
    <row r="177" ht="15.75" customHeight="1">
      <c r="A177" s="22" t="s">
        <v>383</v>
      </c>
      <c r="B177" s="22" t="s">
        <v>384</v>
      </c>
      <c r="C177" s="22" t="s">
        <v>372</v>
      </c>
      <c r="D177" s="22" t="s">
        <v>89</v>
      </c>
      <c r="E177" s="22" t="s">
        <v>90</v>
      </c>
    </row>
    <row r="178" ht="15.75" customHeight="1">
      <c r="A178" s="22" t="s">
        <v>385</v>
      </c>
      <c r="B178" s="22" t="s">
        <v>386</v>
      </c>
      <c r="C178" s="22" t="s">
        <v>372</v>
      </c>
      <c r="D178" s="22" t="s">
        <v>89</v>
      </c>
      <c r="E178" s="22" t="s">
        <v>90</v>
      </c>
    </row>
    <row r="179" ht="15.75" customHeight="1">
      <c r="A179" s="22" t="s">
        <v>387</v>
      </c>
      <c r="B179" s="22" t="s">
        <v>388</v>
      </c>
      <c r="C179" s="22" t="s">
        <v>389</v>
      </c>
      <c r="D179" s="22" t="s">
        <v>89</v>
      </c>
      <c r="E179" s="22" t="s">
        <v>90</v>
      </c>
    </row>
    <row r="180" ht="15.75" customHeight="1">
      <c r="A180" s="22" t="s">
        <v>390</v>
      </c>
      <c r="B180" s="22" t="s">
        <v>391</v>
      </c>
      <c r="C180" s="22" t="s">
        <v>392</v>
      </c>
      <c r="D180" s="22" t="s">
        <v>89</v>
      </c>
      <c r="E180" s="22" t="s">
        <v>90</v>
      </c>
    </row>
    <row r="181" ht="15.75" customHeight="1">
      <c r="A181" s="22" t="s">
        <v>393</v>
      </c>
      <c r="B181" s="22" t="s">
        <v>394</v>
      </c>
      <c r="C181" s="22" t="s">
        <v>392</v>
      </c>
      <c r="D181" s="22" t="s">
        <v>89</v>
      </c>
      <c r="E181" s="22" t="s">
        <v>90</v>
      </c>
    </row>
    <row r="182" ht="15.75" customHeight="1">
      <c r="A182" s="22" t="s">
        <v>395</v>
      </c>
      <c r="B182" s="22" t="s">
        <v>396</v>
      </c>
      <c r="C182" s="22" t="s">
        <v>392</v>
      </c>
      <c r="D182" s="22" t="s">
        <v>89</v>
      </c>
      <c r="E182" s="22" t="s">
        <v>90</v>
      </c>
    </row>
    <row r="183" ht="15.75" customHeight="1">
      <c r="A183" s="22" t="s">
        <v>397</v>
      </c>
      <c r="B183" s="22" t="s">
        <v>398</v>
      </c>
      <c r="C183" s="22" t="s">
        <v>392</v>
      </c>
      <c r="D183" s="22" t="s">
        <v>89</v>
      </c>
      <c r="E183" s="22" t="s">
        <v>90</v>
      </c>
    </row>
    <row r="184" ht="15.75" customHeight="1">
      <c r="A184" s="22" t="s">
        <v>399</v>
      </c>
      <c r="B184" s="22" t="s">
        <v>400</v>
      </c>
      <c r="C184" s="22" t="s">
        <v>392</v>
      </c>
      <c r="D184" s="22" t="s">
        <v>89</v>
      </c>
      <c r="E184" s="22" t="s">
        <v>90</v>
      </c>
    </row>
    <row r="185" ht="15.75" customHeight="1">
      <c r="A185" s="22" t="s">
        <v>401</v>
      </c>
      <c r="B185" s="22" t="s">
        <v>116</v>
      </c>
      <c r="C185" s="22" t="s">
        <v>392</v>
      </c>
      <c r="D185" s="22" t="s">
        <v>89</v>
      </c>
      <c r="E185" s="22" t="s">
        <v>90</v>
      </c>
    </row>
    <row r="186" ht="15.75" customHeight="1">
      <c r="A186" s="37" t="s">
        <v>402</v>
      </c>
      <c r="B186" s="22" t="s">
        <v>256</v>
      </c>
      <c r="C186" s="22" t="s">
        <v>392</v>
      </c>
      <c r="D186" s="22" t="s">
        <v>89</v>
      </c>
      <c r="E186" s="22" t="s">
        <v>90</v>
      </c>
    </row>
    <row r="187" ht="15.75" customHeight="1">
      <c r="A187" s="22" t="s">
        <v>403</v>
      </c>
      <c r="B187" s="22" t="s">
        <v>404</v>
      </c>
      <c r="C187" s="22" t="s">
        <v>405</v>
      </c>
      <c r="D187" s="22" t="s">
        <v>55</v>
      </c>
      <c r="E187" s="22" t="s">
        <v>31</v>
      </c>
    </row>
    <row r="188" ht="15.75" customHeight="1">
      <c r="A188" s="22" t="s">
        <v>406</v>
      </c>
      <c r="B188" s="22" t="s">
        <v>405</v>
      </c>
      <c r="C188" s="22" t="s">
        <v>405</v>
      </c>
      <c r="D188" s="22" t="s">
        <v>55</v>
      </c>
      <c r="E188" s="22" t="s">
        <v>31</v>
      </c>
    </row>
    <row r="189" ht="15.75" customHeight="1">
      <c r="A189" s="22" t="s">
        <v>407</v>
      </c>
      <c r="B189" s="22" t="s">
        <v>405</v>
      </c>
      <c r="C189" s="22" t="s">
        <v>405</v>
      </c>
      <c r="D189" s="22" t="s">
        <v>55</v>
      </c>
      <c r="E189" s="22" t="s">
        <v>31</v>
      </c>
    </row>
    <row r="190" ht="15.75" customHeight="1">
      <c r="A190" s="22" t="s">
        <v>408</v>
      </c>
      <c r="B190" s="22" t="s">
        <v>409</v>
      </c>
      <c r="C190" s="22" t="s">
        <v>410</v>
      </c>
      <c r="D190" s="22" t="s">
        <v>55</v>
      </c>
      <c r="E190" s="22" t="s">
        <v>31</v>
      </c>
    </row>
    <row r="191" ht="15.75" customHeight="1">
      <c r="A191" s="22" t="s">
        <v>411</v>
      </c>
      <c r="B191" s="22" t="s">
        <v>412</v>
      </c>
      <c r="C191" s="22" t="s">
        <v>410</v>
      </c>
      <c r="D191" s="22" t="s">
        <v>55</v>
      </c>
      <c r="E191" s="22" t="s">
        <v>31</v>
      </c>
    </row>
    <row r="192" ht="15.75" customHeight="1">
      <c r="A192" s="22" t="s">
        <v>413</v>
      </c>
      <c r="B192" s="22" t="s">
        <v>414</v>
      </c>
      <c r="C192" s="22" t="s">
        <v>410</v>
      </c>
      <c r="D192" s="22" t="s">
        <v>55</v>
      </c>
      <c r="E192" s="22" t="s">
        <v>31</v>
      </c>
    </row>
    <row r="193" ht="15.75" customHeight="1">
      <c r="A193" s="22" t="s">
        <v>415</v>
      </c>
      <c r="B193" s="22" t="s">
        <v>416</v>
      </c>
      <c r="C193" s="22" t="s">
        <v>410</v>
      </c>
      <c r="D193" s="22" t="s">
        <v>55</v>
      </c>
      <c r="E193" s="22" t="s">
        <v>31</v>
      </c>
    </row>
    <row r="194" ht="15.75" customHeight="1">
      <c r="A194" s="22" t="s">
        <v>417</v>
      </c>
      <c r="B194" s="22" t="s">
        <v>418</v>
      </c>
      <c r="C194" s="22" t="s">
        <v>419</v>
      </c>
      <c r="D194" s="22" t="s">
        <v>55</v>
      </c>
      <c r="E194" s="22" t="s">
        <v>31</v>
      </c>
    </row>
    <row r="195" ht="15.75" customHeight="1">
      <c r="A195" s="22" t="s">
        <v>420</v>
      </c>
      <c r="B195" s="22" t="s">
        <v>421</v>
      </c>
      <c r="C195" s="22" t="s">
        <v>422</v>
      </c>
      <c r="D195" s="22" t="s">
        <v>55</v>
      </c>
      <c r="E195" s="22" t="s">
        <v>31</v>
      </c>
    </row>
    <row r="196" ht="15.75" customHeight="1">
      <c r="A196" s="22" t="s">
        <v>423</v>
      </c>
      <c r="B196" s="22" t="s">
        <v>424</v>
      </c>
      <c r="C196" s="22" t="s">
        <v>422</v>
      </c>
      <c r="D196" s="22" t="s">
        <v>55</v>
      </c>
      <c r="E196" s="22" t="s">
        <v>31</v>
      </c>
    </row>
    <row r="197" ht="15.75" customHeight="1">
      <c r="A197" s="22" t="s">
        <v>425</v>
      </c>
      <c r="B197" s="22" t="s">
        <v>426</v>
      </c>
      <c r="C197" s="22" t="s">
        <v>427</v>
      </c>
      <c r="D197" s="22" t="s">
        <v>55</v>
      </c>
      <c r="E197" s="22" t="s">
        <v>31</v>
      </c>
    </row>
    <row r="198" ht="15.75" customHeight="1">
      <c r="A198" s="22" t="s">
        <v>428</v>
      </c>
      <c r="B198" s="22" t="s">
        <v>429</v>
      </c>
      <c r="C198" s="22" t="s">
        <v>427</v>
      </c>
      <c r="D198" s="22" t="s">
        <v>55</v>
      </c>
      <c r="E198" s="22" t="s">
        <v>31</v>
      </c>
    </row>
    <row r="199" ht="15.75" customHeight="1">
      <c r="A199" s="22" t="s">
        <v>430</v>
      </c>
      <c r="B199" s="22" t="s">
        <v>431</v>
      </c>
      <c r="C199" s="22" t="s">
        <v>432</v>
      </c>
      <c r="D199" s="22" t="s">
        <v>55</v>
      </c>
      <c r="E199" s="22" t="s">
        <v>31</v>
      </c>
    </row>
    <row r="200" ht="15.75" customHeight="1">
      <c r="A200" s="22" t="s">
        <v>433</v>
      </c>
      <c r="B200" s="22" t="s">
        <v>434</v>
      </c>
      <c r="C200" s="22" t="s">
        <v>432</v>
      </c>
      <c r="D200" s="22" t="s">
        <v>55</v>
      </c>
      <c r="E200" s="22" t="s">
        <v>31</v>
      </c>
    </row>
    <row r="201" ht="15.75" customHeight="1">
      <c r="A201" s="22" t="s">
        <v>435</v>
      </c>
      <c r="B201" s="22" t="s">
        <v>436</v>
      </c>
      <c r="C201" s="22" t="s">
        <v>432</v>
      </c>
      <c r="D201" s="22" t="s">
        <v>55</v>
      </c>
      <c r="E201" s="22" t="s">
        <v>31</v>
      </c>
    </row>
    <row r="202" ht="15.75" customHeight="1">
      <c r="A202" s="22" t="s">
        <v>437</v>
      </c>
      <c r="B202" s="22" t="s">
        <v>438</v>
      </c>
      <c r="C202" s="22" t="s">
        <v>432</v>
      </c>
      <c r="D202" s="22" t="s">
        <v>55</v>
      </c>
      <c r="E202" s="22" t="s">
        <v>31</v>
      </c>
    </row>
    <row r="203" ht="15.75" customHeight="1">
      <c r="A203" s="22" t="s">
        <v>439</v>
      </c>
      <c r="B203" s="22" t="s">
        <v>440</v>
      </c>
      <c r="C203" s="22" t="s">
        <v>432</v>
      </c>
      <c r="D203" s="22" t="s">
        <v>55</v>
      </c>
      <c r="E203" s="22" t="s">
        <v>31</v>
      </c>
    </row>
    <row r="204" ht="15.75" customHeight="1">
      <c r="A204" s="22" t="s">
        <v>441</v>
      </c>
      <c r="B204" s="22" t="s">
        <v>442</v>
      </c>
      <c r="C204" s="22" t="s">
        <v>432</v>
      </c>
      <c r="D204" s="22" t="s">
        <v>55</v>
      </c>
      <c r="E204" s="22" t="s">
        <v>31</v>
      </c>
    </row>
    <row r="205" ht="15.75" customHeight="1">
      <c r="A205" s="22" t="s">
        <v>443</v>
      </c>
      <c r="B205" s="22" t="s">
        <v>444</v>
      </c>
      <c r="C205" s="22" t="s">
        <v>432</v>
      </c>
      <c r="D205" s="22" t="s">
        <v>55</v>
      </c>
      <c r="E205" s="22" t="s">
        <v>31</v>
      </c>
    </row>
    <row r="206" ht="15.75" customHeight="1">
      <c r="A206" s="22" t="s">
        <v>445</v>
      </c>
      <c r="B206" s="22" t="s">
        <v>446</v>
      </c>
      <c r="C206" s="22" t="s">
        <v>447</v>
      </c>
      <c r="D206" s="22" t="s">
        <v>55</v>
      </c>
      <c r="E206" s="22" t="s">
        <v>31</v>
      </c>
    </row>
    <row r="207" ht="15.75" customHeight="1">
      <c r="A207" s="22" t="s">
        <v>448</v>
      </c>
      <c r="B207" s="22" t="s">
        <v>449</v>
      </c>
      <c r="C207" s="22" t="s">
        <v>450</v>
      </c>
      <c r="D207" s="22" t="s">
        <v>55</v>
      </c>
      <c r="E207" s="22" t="s">
        <v>31</v>
      </c>
    </row>
    <row r="208" ht="15.75" customHeight="1">
      <c r="A208" s="22" t="s">
        <v>451</v>
      </c>
      <c r="B208" s="22" t="s">
        <v>449</v>
      </c>
      <c r="C208" s="22" t="s">
        <v>450</v>
      </c>
      <c r="D208" s="22" t="s">
        <v>55</v>
      </c>
      <c r="E208" s="22" t="s">
        <v>31</v>
      </c>
    </row>
    <row r="209" ht="15.75" customHeight="1">
      <c r="A209" s="22" t="s">
        <v>452</v>
      </c>
      <c r="B209" s="22" t="s">
        <v>453</v>
      </c>
      <c r="C209" s="22" t="s">
        <v>450</v>
      </c>
      <c r="D209" s="22" t="s">
        <v>55</v>
      </c>
      <c r="E209" s="22" t="s">
        <v>31</v>
      </c>
    </row>
    <row r="210" ht="15.75" customHeight="1">
      <c r="A210" s="22" t="s">
        <v>454</v>
      </c>
      <c r="B210" s="22" t="s">
        <v>455</v>
      </c>
      <c r="C210" s="22" t="s">
        <v>450</v>
      </c>
      <c r="D210" s="22" t="s">
        <v>55</v>
      </c>
      <c r="E210" s="22" t="s">
        <v>31</v>
      </c>
    </row>
    <row r="211" ht="15.75" customHeight="1">
      <c r="A211" s="22" t="s">
        <v>456</v>
      </c>
      <c r="B211" s="22" t="s">
        <v>457</v>
      </c>
      <c r="C211" s="22" t="s">
        <v>458</v>
      </c>
      <c r="D211" s="22" t="s">
        <v>55</v>
      </c>
      <c r="E211" s="22" t="s">
        <v>31</v>
      </c>
    </row>
    <row r="212" ht="15.75" customHeight="1">
      <c r="A212" s="22" t="s">
        <v>459</v>
      </c>
      <c r="B212" s="22" t="s">
        <v>460</v>
      </c>
      <c r="C212" s="22" t="s">
        <v>461</v>
      </c>
      <c r="D212" s="22" t="s">
        <v>55</v>
      </c>
      <c r="E212" s="22" t="s">
        <v>31</v>
      </c>
    </row>
    <row r="213" ht="15.75" customHeight="1">
      <c r="A213" s="22" t="s">
        <v>462</v>
      </c>
      <c r="B213" s="22" t="s">
        <v>463</v>
      </c>
      <c r="C213" s="22" t="s">
        <v>461</v>
      </c>
      <c r="D213" s="22" t="s">
        <v>55</v>
      </c>
      <c r="E213" s="22" t="s">
        <v>31</v>
      </c>
    </row>
    <row r="214" ht="15.75" customHeight="1">
      <c r="A214" s="22" t="s">
        <v>464</v>
      </c>
      <c r="B214" s="22" t="s">
        <v>465</v>
      </c>
      <c r="C214" s="22" t="s">
        <v>466</v>
      </c>
      <c r="D214" s="22" t="s">
        <v>89</v>
      </c>
      <c r="E214" s="22" t="s">
        <v>31</v>
      </c>
    </row>
    <row r="215" ht="15.75" customHeight="1">
      <c r="A215" s="22" t="s">
        <v>467</v>
      </c>
      <c r="B215" s="22" t="s">
        <v>468</v>
      </c>
      <c r="C215" s="22" t="s">
        <v>466</v>
      </c>
      <c r="D215" s="22" t="s">
        <v>89</v>
      </c>
      <c r="E215" s="22" t="s">
        <v>31</v>
      </c>
    </row>
    <row r="216" ht="15.75" customHeight="1">
      <c r="A216" s="22" t="s">
        <v>469</v>
      </c>
      <c r="B216" s="22" t="s">
        <v>470</v>
      </c>
      <c r="C216" s="22" t="s">
        <v>466</v>
      </c>
      <c r="D216" s="22" t="s">
        <v>89</v>
      </c>
      <c r="E216" s="22" t="s">
        <v>31</v>
      </c>
    </row>
    <row r="217" ht="15.75" customHeight="1">
      <c r="A217" s="22" t="s">
        <v>471</v>
      </c>
      <c r="B217" s="22" t="s">
        <v>472</v>
      </c>
      <c r="C217" s="22" t="s">
        <v>466</v>
      </c>
      <c r="D217" s="22" t="s">
        <v>89</v>
      </c>
      <c r="E217" s="22" t="s">
        <v>31</v>
      </c>
    </row>
    <row r="218" ht="15.75" customHeight="1">
      <c r="A218" s="22" t="s">
        <v>473</v>
      </c>
      <c r="B218" s="22" t="s">
        <v>474</v>
      </c>
      <c r="C218" s="22" t="s">
        <v>466</v>
      </c>
      <c r="D218" s="22" t="s">
        <v>89</v>
      </c>
      <c r="E218" s="22" t="s">
        <v>31</v>
      </c>
    </row>
    <row r="219" ht="15.75" customHeight="1">
      <c r="A219" s="22" t="s">
        <v>475</v>
      </c>
      <c r="B219" s="22" t="s">
        <v>474</v>
      </c>
      <c r="C219" s="22" t="s">
        <v>466</v>
      </c>
      <c r="D219" s="22" t="s">
        <v>89</v>
      </c>
      <c r="E219" s="22" t="s">
        <v>31</v>
      </c>
    </row>
    <row r="220" ht="15.75" customHeight="1">
      <c r="A220" s="22" t="s">
        <v>476</v>
      </c>
      <c r="B220" s="22" t="s">
        <v>477</v>
      </c>
      <c r="C220" s="22" t="s">
        <v>466</v>
      </c>
      <c r="D220" s="22" t="s">
        <v>89</v>
      </c>
      <c r="E220" s="22" t="s">
        <v>31</v>
      </c>
    </row>
    <row r="221" ht="15.75" customHeight="1">
      <c r="A221" s="22" t="s">
        <v>478</v>
      </c>
      <c r="B221" s="22" t="s">
        <v>479</v>
      </c>
      <c r="C221" s="22" t="s">
        <v>466</v>
      </c>
      <c r="D221" s="22" t="s">
        <v>89</v>
      </c>
      <c r="E221" s="22" t="s">
        <v>31</v>
      </c>
    </row>
    <row r="222" ht="15.75" customHeight="1">
      <c r="A222" s="22" t="s">
        <v>480</v>
      </c>
      <c r="B222" s="22" t="s">
        <v>481</v>
      </c>
      <c r="C222" s="22" t="s">
        <v>466</v>
      </c>
      <c r="D222" s="22" t="s">
        <v>89</v>
      </c>
      <c r="E222" s="22" t="s">
        <v>31</v>
      </c>
    </row>
    <row r="223" ht="15.75" customHeight="1">
      <c r="A223" s="22" t="s">
        <v>482</v>
      </c>
      <c r="B223" s="22" t="s">
        <v>483</v>
      </c>
      <c r="C223" s="22" t="s">
        <v>466</v>
      </c>
      <c r="D223" s="22" t="s">
        <v>89</v>
      </c>
      <c r="E223" s="22" t="s">
        <v>31</v>
      </c>
    </row>
    <row r="224" ht="15.75" customHeight="1">
      <c r="A224" s="22" t="s">
        <v>484</v>
      </c>
      <c r="B224" s="22" t="s">
        <v>483</v>
      </c>
      <c r="C224" s="22" t="s">
        <v>466</v>
      </c>
      <c r="D224" s="22" t="s">
        <v>89</v>
      </c>
      <c r="E224" s="22" t="s">
        <v>31</v>
      </c>
    </row>
    <row r="225" ht="15.75" customHeight="1">
      <c r="A225" s="22" t="s">
        <v>485</v>
      </c>
      <c r="B225" s="22" t="s">
        <v>486</v>
      </c>
      <c r="C225" s="22" t="s">
        <v>466</v>
      </c>
      <c r="D225" s="22" t="s">
        <v>89</v>
      </c>
      <c r="E225" s="22" t="s">
        <v>31</v>
      </c>
    </row>
    <row r="226" ht="15.75" customHeight="1">
      <c r="A226" s="22" t="s">
        <v>487</v>
      </c>
      <c r="B226" s="22" t="s">
        <v>488</v>
      </c>
      <c r="C226" s="22" t="s">
        <v>466</v>
      </c>
      <c r="D226" s="22" t="s">
        <v>89</v>
      </c>
      <c r="E226" s="22" t="s">
        <v>31</v>
      </c>
    </row>
    <row r="227" ht="15.75" customHeight="1">
      <c r="A227" s="22" t="s">
        <v>489</v>
      </c>
      <c r="B227" s="22" t="s">
        <v>490</v>
      </c>
      <c r="C227" s="22" t="s">
        <v>466</v>
      </c>
      <c r="D227" s="22" t="s">
        <v>89</v>
      </c>
      <c r="E227" s="22" t="s">
        <v>31</v>
      </c>
    </row>
    <row r="228" ht="15.75" customHeight="1">
      <c r="A228" s="22" t="s">
        <v>491</v>
      </c>
      <c r="B228" s="22" t="s">
        <v>492</v>
      </c>
      <c r="C228" s="22" t="s">
        <v>466</v>
      </c>
      <c r="D228" s="22" t="s">
        <v>89</v>
      </c>
      <c r="E228" s="22" t="s">
        <v>31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28"/>
  <dataValidations>
    <dataValidation type="list" allowBlank="1" sqref="B4">
      <formula1>$A:$A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